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1.일반상품재고" sheetId="2" state="visible" r:id="rId2"/>
    <sheet name="2.상권최적화" sheetId="3" state="visible" r:id="rId3"/>
    <sheet name="3.간편식사" sheetId="4" state="visible" r:id="rId4"/>
    <sheet name="4.GET커피" sheetId="5" state="visible" r:id="rId5"/>
    <sheet name="5.즉석조리" sheetId="6" state="visible" r:id="rId6"/>
    <sheet name="★7월 팀별 전개체크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맑은 고딕"/>
      <b val="1"/>
      <color rgb="00C00000"/>
      <sz val="11"/>
    </font>
    <font>
      <name val="맑은 고딕"/>
      <b val="1"/>
      <color rgb="00FFFFFF"/>
      <sz val="16"/>
    </font>
    <font>
      <name val="맑은 고딕"/>
      <b val="1"/>
      <color rgb="001F3864"/>
      <sz val="11"/>
    </font>
    <font>
      <name val="맑은 고딕"/>
      <sz val="10"/>
    </font>
    <font>
      <name val="맑은 고딕"/>
      <b val="1"/>
      <color rgb="001F3864"/>
      <sz val="12"/>
    </font>
    <font>
      <name val="맑은 고딕"/>
      <b val="1"/>
      <sz val="10"/>
    </font>
    <font>
      <name val="맑은 고딕"/>
      <color rgb="00595959"/>
      <sz val="9"/>
    </font>
    <font>
      <name val="맑은 고딕"/>
      <b val="1"/>
      <color rgb="00FFFFFF"/>
      <sz val="13"/>
    </font>
    <font>
      <name val="맑은 고딕"/>
      <i val="1"/>
      <color rgb="00808080"/>
      <sz val="9"/>
    </font>
    <font>
      <name val="맑은 고딕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AF0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</cols>
  <sheetData>
    <row r="2">
      <c r="B2" s="1" t="inlineStr">
        <is>
          <t>대 외 비</t>
        </is>
      </c>
    </row>
    <row r="4" ht="30" customHeight="1">
      <c r="B4" s="2" t="inlineStr">
        <is>
          <t>26년 상반기 Review &amp; 하반기
수원지역부 영업전략</t>
        </is>
      </c>
    </row>
    <row r="5" ht="30" customHeight="1"/>
    <row r="6"/>
    <row r="8">
      <c r="B8" s="3" t="inlineStr">
        <is>
          <t>2권역  수원지역부</t>
        </is>
      </c>
    </row>
    <row r="9">
      <c r="B9" s="4" t="inlineStr">
        <is>
          <t>보고일 : 2026.07.13</t>
        </is>
      </c>
    </row>
    <row r="12">
      <c r="B12" s="5" t="inlineStr">
        <is>
          <t>목  차</t>
        </is>
      </c>
    </row>
    <row r="13">
      <c r="B13" s="6" t="inlineStr">
        <is>
          <t>1. 일반상품 재고 및 점두 진열</t>
        </is>
      </c>
    </row>
    <row r="14">
      <c r="B14" s="6" t="inlineStr">
        <is>
          <t>2. 상권최적화 추진</t>
        </is>
      </c>
    </row>
    <row r="15">
      <c r="B15" s="6" t="inlineStr">
        <is>
          <t>3. 간편식사 확대 방안</t>
        </is>
      </c>
    </row>
    <row r="16">
      <c r="B16" s="6" t="inlineStr">
        <is>
          <t>4. GET커피 잔수·매출 확대</t>
        </is>
      </c>
    </row>
    <row r="17">
      <c r="B17" s="6" t="inlineStr">
        <is>
          <t>5. 즉석조리 가동률·매출 극대화</t>
        </is>
      </c>
    </row>
    <row r="18">
      <c r="B18" s="7" t="inlineStr">
        <is>
          <t>★ 7월 팀별 전개체크  (부장님 피드백 반영 : 팀별 7월 실적/전개 내용 기입)</t>
        </is>
      </c>
    </row>
    <row r="20">
      <c r="B20" s="8" t="inlineStr">
        <is>
          <t>[안내] 이 엑셀은 HWP→PDF 보고서를 편집 가능한 엑셀로 변환한 자료입니다.
· 각 전략 시트 : 원본 보고서의 실적표를 그대로 옮겨 편집 가능하게 정리
· ★7월 팀별 전개체크 시트 : 팀별 하반기 목표 대비 '7월 완료 수'와 '7월 전개 내용'을
  기입하면 달성률이 자동 계산됩니다. (노란색 칸이 입력란)</t>
        </is>
      </c>
    </row>
    <row r="21"/>
    <row r="22"/>
    <row r="23"/>
  </sheetData>
  <mergeCells count="12">
    <mergeCell ref="B12:F12"/>
    <mergeCell ref="B2:F2"/>
    <mergeCell ref="B16:F16"/>
    <mergeCell ref="B15:F15"/>
    <mergeCell ref="B20:F23"/>
    <mergeCell ref="B18:F18"/>
    <mergeCell ref="B14:F14"/>
    <mergeCell ref="B8:F8"/>
    <mergeCell ref="B17:F17"/>
    <mergeCell ref="B9:F9"/>
    <mergeCell ref="B13:F13"/>
    <mergeCell ref="B4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9" t="inlineStr">
        <is>
          <t>1. 일반상품 재고 및 점두 진열</t>
        </is>
      </c>
      <c r="B1" s="10" t="n"/>
      <c r="C1" s="10" t="n"/>
      <c r="D1" s="10" t="n"/>
      <c r="E1" s="10" t="n"/>
      <c r="F1" s="10" t="n"/>
      <c r="G1" s="10" t="n"/>
    </row>
    <row r="3" ht="16" customHeight="1">
      <c r="A3" s="6" t="inlineStr">
        <is>
          <t>가. 재고 목표 : 25년 7월 19,945천원 → 목표 20,942천원(105%) / 26년 7월 1주차 20,788천원</t>
        </is>
      </c>
    </row>
    <row r="5" ht="22" customHeight="1">
      <c r="A5" s="11" t="inlineStr">
        <is>
          <t>1) 26년도 일반상품 재고 실적 추이</t>
        </is>
      </c>
      <c r="B5" s="10" t="n"/>
      <c r="C5" s="10" t="n"/>
      <c r="D5" s="10" t="n"/>
      <c r="E5" s="10" t="n"/>
      <c r="F5" s="10" t="n"/>
      <c r="G5" s="10" t="n"/>
    </row>
    <row r="6">
      <c r="A6" s="12" t="inlineStr">
        <is>
          <t>(단위 : 천원 / %)</t>
        </is>
      </c>
    </row>
    <row r="7">
      <c r="A7" s="13" t="inlineStr">
        <is>
          <t>지역부</t>
        </is>
      </c>
      <c r="B7" s="13" t="inlineStr">
        <is>
          <t>25년 1월</t>
        </is>
      </c>
      <c r="C7" s="13" t="inlineStr">
        <is>
          <t>25년 2월</t>
        </is>
      </c>
      <c r="D7" s="13" t="inlineStr">
        <is>
          <t>25년 3월</t>
        </is>
      </c>
      <c r="E7" s="13" t="inlineStr">
        <is>
          <t>25년 4월</t>
        </is>
      </c>
      <c r="F7" s="13" t="inlineStr">
        <is>
          <t>25년 5월</t>
        </is>
      </c>
      <c r="G7" s="13" t="inlineStr">
        <is>
          <t>25년 6월</t>
        </is>
      </c>
    </row>
    <row r="8">
      <c r="A8" s="14" t="inlineStr">
        <is>
          <t>25년 실적</t>
        </is>
      </c>
      <c r="B8" s="15" t="n">
        <v>19624</v>
      </c>
      <c r="C8" s="15" t="n">
        <v>19909</v>
      </c>
      <c r="D8" s="15" t="n">
        <v>19305</v>
      </c>
      <c r="E8" s="15" t="n">
        <v>19954</v>
      </c>
      <c r="F8" s="15" t="n">
        <v>19631</v>
      </c>
      <c r="G8" s="15" t="n">
        <v>19784</v>
      </c>
    </row>
    <row r="9">
      <c r="A9" s="13" t="inlineStr">
        <is>
          <t>수원지역부</t>
        </is>
      </c>
      <c r="B9" s="13" t="inlineStr">
        <is>
          <t>26년 1월</t>
        </is>
      </c>
      <c r="C9" s="13" t="inlineStr">
        <is>
          <t>26년 2월</t>
        </is>
      </c>
      <c r="D9" s="13" t="inlineStr">
        <is>
          <t>26년 3월</t>
        </is>
      </c>
      <c r="E9" s="13" t="inlineStr">
        <is>
          <t>26년 4월</t>
        </is>
      </c>
      <c r="F9" s="13" t="inlineStr">
        <is>
          <t>26년 5월</t>
        </is>
      </c>
      <c r="G9" s="13" t="inlineStr">
        <is>
          <t>26년 6월</t>
        </is>
      </c>
    </row>
    <row r="10">
      <c r="A10" s="14" t="inlineStr">
        <is>
          <t>26년 실적</t>
        </is>
      </c>
      <c r="B10" s="15" t="n">
        <v>20372</v>
      </c>
      <c r="C10" s="15" t="n">
        <v>20437</v>
      </c>
      <c r="D10" s="15" t="n">
        <v>20050</v>
      </c>
      <c r="E10" s="15" t="n">
        <v>19812</v>
      </c>
      <c r="F10" s="15" t="n">
        <v>19907</v>
      </c>
      <c r="G10" s="15" t="n">
        <v>20655</v>
      </c>
    </row>
    <row r="11">
      <c r="A11" s="16" t="inlineStr">
        <is>
          <t>전년비</t>
        </is>
      </c>
      <c r="B11" s="15" t="inlineStr">
        <is>
          <t>100.8%</t>
        </is>
      </c>
      <c r="C11" s="15" t="inlineStr">
        <is>
          <t>99.7%</t>
        </is>
      </c>
      <c r="D11" s="15" t="inlineStr">
        <is>
          <t>103.9%</t>
        </is>
      </c>
      <c r="E11" s="15" t="inlineStr">
        <is>
          <t>99.3%(물류파업)</t>
        </is>
      </c>
      <c r="F11" s="15" t="inlineStr">
        <is>
          <t>101.4%</t>
        </is>
      </c>
      <c r="G11" s="15" t="inlineStr">
        <is>
          <t>104.4%</t>
        </is>
      </c>
    </row>
    <row r="12">
      <c r="A12" s="17" t="inlineStr">
        <is>
          <t>전사 순위</t>
        </is>
      </c>
      <c r="B12" s="15" t="inlineStr">
        <is>
          <t>2위</t>
        </is>
      </c>
      <c r="C12" s="15" t="inlineStr">
        <is>
          <t>2위</t>
        </is>
      </c>
      <c r="D12" s="15" t="inlineStr">
        <is>
          <t>2위</t>
        </is>
      </c>
      <c r="E12" s="15" t="inlineStr">
        <is>
          <t>11위</t>
        </is>
      </c>
      <c r="F12" s="15" t="inlineStr">
        <is>
          <t>2위</t>
        </is>
      </c>
      <c r="G12" s="15" t="inlineStr">
        <is>
          <t>1위</t>
        </is>
      </c>
    </row>
    <row r="14" ht="22" customHeight="1">
      <c r="A14" s="11" t="inlineStr">
        <is>
          <t>나. 관련 전략  ―  1) 연장진열대 및 점두진열 전개</t>
        </is>
      </c>
      <c r="B14" s="10" t="n"/>
      <c r="C14" s="10" t="n"/>
      <c r="D14" s="10" t="n"/>
      <c r="E14" s="10" t="n"/>
      <c r="F14" s="10" t="n"/>
      <c r="G14" s="10" t="n"/>
    </row>
    <row r="15" ht="22" customHeight="1">
      <c r="A15" s="18" t="inlineStr">
        <is>
          <t>연장진열대 (단위: 점)</t>
        </is>
      </c>
      <c r="B15" s="10" t="n"/>
      <c r="C15" s="10" t="n"/>
      <c r="D15" s="10" t="n"/>
      <c r="E15" s="10" t="n"/>
      <c r="F15" s="10" t="n"/>
      <c r="G15" s="10" t="n"/>
    </row>
    <row r="16">
      <c r="A16" s="13" t="inlineStr">
        <is>
          <t>구분</t>
        </is>
      </c>
      <c r="B16" s="13" t="inlineStr">
        <is>
          <t>완료점(상반기)</t>
        </is>
      </c>
      <c r="C16" s="13" t="inlineStr">
        <is>
          <t>하반기 목표점</t>
        </is>
      </c>
      <c r="D16" s="13" t="inlineStr">
        <is>
          <t>합계</t>
        </is>
      </c>
    </row>
    <row r="17">
      <c r="A17" s="16" t="inlineStr">
        <is>
          <t>수원지역부</t>
        </is>
      </c>
      <c r="B17" s="16" t="n">
        <v>79</v>
      </c>
      <c r="C17" s="16" t="n">
        <v>26</v>
      </c>
      <c r="D17" s="16" t="n">
        <v>105</v>
      </c>
    </row>
    <row r="18">
      <c r="A18" s="19" t="inlineStr">
        <is>
          <t>수원영업1팀</t>
        </is>
      </c>
      <c r="B18" s="15" t="n">
        <v>14</v>
      </c>
      <c r="C18" s="15" t="n">
        <v>3</v>
      </c>
      <c r="D18" s="15" t="n">
        <v>17</v>
      </c>
    </row>
    <row r="19">
      <c r="A19" s="19" t="inlineStr">
        <is>
          <t>수원영업2팀</t>
        </is>
      </c>
      <c r="B19" s="15" t="n">
        <v>9</v>
      </c>
      <c r="C19" s="15" t="n">
        <v>7</v>
      </c>
      <c r="D19" s="15" t="n">
        <v>16</v>
      </c>
    </row>
    <row r="20">
      <c r="A20" s="19" t="inlineStr">
        <is>
          <t>수원영업3팀</t>
        </is>
      </c>
      <c r="B20" s="15" t="n">
        <v>4</v>
      </c>
      <c r="C20" s="15" t="n">
        <v>1</v>
      </c>
      <c r="D20" s="15" t="n">
        <v>5</v>
      </c>
    </row>
    <row r="21">
      <c r="A21" s="19" t="inlineStr">
        <is>
          <t>수원영업4팀</t>
        </is>
      </c>
      <c r="B21" s="15" t="n">
        <v>6</v>
      </c>
      <c r="C21" s="15" t="n">
        <v>3</v>
      </c>
      <c r="D21" s="15" t="n">
        <v>9</v>
      </c>
    </row>
    <row r="22">
      <c r="A22" s="19" t="inlineStr">
        <is>
          <t>수원영업5팀</t>
        </is>
      </c>
      <c r="B22" s="15" t="n">
        <v>6</v>
      </c>
      <c r="C22" s="15" t="n">
        <v>1</v>
      </c>
      <c r="D22" s="15" t="n">
        <v>7</v>
      </c>
    </row>
    <row r="23">
      <c r="A23" s="19" t="inlineStr">
        <is>
          <t>수원영업6팀</t>
        </is>
      </c>
      <c r="B23" s="15" t="n">
        <v>9</v>
      </c>
      <c r="C23" s="15" t="n">
        <v>0</v>
      </c>
      <c r="D23" s="15" t="n">
        <v>9</v>
      </c>
    </row>
    <row r="24">
      <c r="A24" s="19" t="inlineStr">
        <is>
          <t>수원영업7팀</t>
        </is>
      </c>
      <c r="B24" s="15" t="n">
        <v>11</v>
      </c>
      <c r="C24" s="15" t="n">
        <v>3</v>
      </c>
      <c r="D24" s="15" t="n">
        <v>14</v>
      </c>
    </row>
    <row r="25">
      <c r="A25" s="19" t="inlineStr">
        <is>
          <t>수원영업8팀</t>
        </is>
      </c>
      <c r="B25" s="15" t="n">
        <v>11</v>
      </c>
      <c r="C25" s="15" t="n">
        <v>3</v>
      </c>
      <c r="D25" s="15" t="n">
        <v>14</v>
      </c>
    </row>
    <row r="26">
      <c r="A26" s="19" t="inlineStr">
        <is>
          <t>수원영업9팀</t>
        </is>
      </c>
      <c r="B26" s="15" t="n">
        <v>9</v>
      </c>
      <c r="C26" s="15" t="n">
        <v>5</v>
      </c>
      <c r="D26" s="15" t="n">
        <v>14</v>
      </c>
    </row>
    <row r="28" ht="16" customHeight="1">
      <c r="A28" s="6" t="inlineStr">
        <is>
          <t xml:space="preserve">  - 연장진열대 상반기 79점 완료, 하반기 26점 진행</t>
        </is>
      </c>
    </row>
    <row r="29" ht="16" customHeight="1">
      <c r="A29" s="6" t="inlineStr">
        <is>
          <t xml:space="preserve">  - 연장진열대 79점 기준 6월 30일 전년 비교시 일반상품 재고 +939천원, 전년비 105.3% 증가</t>
        </is>
      </c>
    </row>
    <row r="30" ht="16" customHeight="1">
      <c r="A30" s="6" t="inlineStr">
        <is>
          <t xml:space="preserve">     ※ 연장진열대 설치점 일매출 전년비 109.6%, 150천원 증가</t>
        </is>
      </c>
    </row>
    <row r="31" ht="16" customHeight="1">
      <c r="A31" s="6" t="inlineStr">
        <is>
          <t xml:space="preserve">  - 하반기 26점 확대 목표 전개, 리뉴얼 진행시 일체형 진열대 높이 조정 추진</t>
        </is>
      </c>
    </row>
    <row r="33" ht="22" customHeight="1">
      <c r="A33" s="18" t="inlineStr">
        <is>
          <t>점두진열 (단위: 점)</t>
        </is>
      </c>
      <c r="B33" s="10" t="n"/>
      <c r="C33" s="10" t="n"/>
      <c r="D33" s="10" t="n"/>
      <c r="E33" s="10" t="n"/>
      <c r="F33" s="10" t="n"/>
      <c r="G33" s="10" t="n"/>
    </row>
    <row r="34">
      <c r="A34" s="13" t="inlineStr">
        <is>
          <t>구분</t>
        </is>
      </c>
      <c r="B34" s="13" t="inlineStr">
        <is>
          <t>완료점(상반기)</t>
        </is>
      </c>
      <c r="C34" s="13" t="inlineStr">
        <is>
          <t>하반기 목표점</t>
        </is>
      </c>
      <c r="D34" s="13" t="inlineStr">
        <is>
          <t>합계</t>
        </is>
      </c>
    </row>
    <row r="35">
      <c r="A35" s="16" t="inlineStr">
        <is>
          <t>수원지역부</t>
        </is>
      </c>
      <c r="B35" s="16" t="n">
        <v>108</v>
      </c>
      <c r="C35" s="16" t="n">
        <v>45</v>
      </c>
      <c r="D35" s="16" t="n">
        <v>153</v>
      </c>
    </row>
    <row r="36">
      <c r="A36" s="19" t="inlineStr">
        <is>
          <t>수원영업1팀</t>
        </is>
      </c>
      <c r="B36" s="15" t="n">
        <v>12</v>
      </c>
      <c r="C36" s="15" t="n">
        <v>2</v>
      </c>
      <c r="D36" s="15" t="n">
        <v>14</v>
      </c>
    </row>
    <row r="37">
      <c r="A37" s="19" t="inlineStr">
        <is>
          <t>수원영업2팀</t>
        </is>
      </c>
      <c r="B37" s="15" t="n">
        <v>20</v>
      </c>
      <c r="C37" s="15" t="n">
        <v>3</v>
      </c>
      <c r="D37" s="15" t="n">
        <v>23</v>
      </c>
    </row>
    <row r="38">
      <c r="A38" s="19" t="inlineStr">
        <is>
          <t>수원영업3팀</t>
        </is>
      </c>
      <c r="B38" s="15" t="n">
        <v>6</v>
      </c>
      <c r="C38" s="15" t="n">
        <v>2</v>
      </c>
      <c r="D38" s="15" t="n">
        <v>8</v>
      </c>
    </row>
    <row r="39">
      <c r="A39" s="19" t="inlineStr">
        <is>
          <t>수원영업4팀</t>
        </is>
      </c>
      <c r="B39" s="15" t="n">
        <v>13</v>
      </c>
      <c r="C39" s="15" t="n">
        <v>8</v>
      </c>
      <c r="D39" s="15" t="n">
        <v>21</v>
      </c>
    </row>
    <row r="40">
      <c r="A40" s="19" t="inlineStr">
        <is>
          <t>수원영업5팀</t>
        </is>
      </c>
      <c r="B40" s="15" t="n">
        <v>14</v>
      </c>
      <c r="C40" s="15" t="n">
        <v>12</v>
      </c>
      <c r="D40" s="15" t="n">
        <v>26</v>
      </c>
    </row>
    <row r="41">
      <c r="A41" s="19" t="inlineStr">
        <is>
          <t>수원영업6팀</t>
        </is>
      </c>
      <c r="B41" s="15" t="n">
        <v>9</v>
      </c>
      <c r="C41" s="15" t="n">
        <v>11</v>
      </c>
      <c r="D41" s="15" t="n">
        <v>20</v>
      </c>
    </row>
    <row r="42">
      <c r="A42" s="19" t="inlineStr">
        <is>
          <t>수원영업7팀</t>
        </is>
      </c>
      <c r="B42" s="15" t="n">
        <v>16</v>
      </c>
      <c r="C42" s="15" t="n">
        <v>2</v>
      </c>
      <c r="D42" s="15" t="n">
        <v>18</v>
      </c>
    </row>
    <row r="43">
      <c r="A43" s="19" t="inlineStr">
        <is>
          <t>수원영업8팀</t>
        </is>
      </c>
      <c r="B43" s="15" t="n">
        <v>6</v>
      </c>
      <c r="C43" s="15" t="n">
        <v>4</v>
      </c>
      <c r="D43" s="15" t="n">
        <v>10</v>
      </c>
    </row>
    <row r="44">
      <c r="A44" s="19" t="inlineStr">
        <is>
          <t>수원영업9팀</t>
        </is>
      </c>
      <c r="B44" s="15" t="n">
        <v>12</v>
      </c>
      <c r="C44" s="15" t="n">
        <v>1</v>
      </c>
      <c r="D44" s="15" t="n">
        <v>13</v>
      </c>
    </row>
    <row r="46" ht="16" customHeight="1">
      <c r="A46" s="6" t="inlineStr">
        <is>
          <t xml:space="preserve">  - 6월 권역(44점포) + 지역부(64점포) 총 108점 점두 진열 진행</t>
        </is>
      </c>
    </row>
    <row r="47" ht="16" customHeight="1">
      <c r="A47" s="6" t="inlineStr">
        <is>
          <t xml:space="preserve">  - 지역부 진열 7월 기준 64점 중 52점(81.2%) 일매출 향상 효과 有 (*일부점포 데이터 추출 오류)</t>
        </is>
      </c>
    </row>
    <row r="49" ht="22" customHeight="1">
      <c r="A49" s="18" t="inlineStr">
        <is>
          <t>※ APPENDIX 1. 7월 팀별 일매출 대표 상승점 (단위: 원)</t>
        </is>
      </c>
      <c r="B49" s="10" t="n"/>
      <c r="C49" s="10" t="n"/>
      <c r="D49" s="10" t="n"/>
      <c r="E49" s="10" t="n"/>
      <c r="F49" s="10" t="n"/>
      <c r="G49" s="10" t="n"/>
    </row>
    <row r="50">
      <c r="A50" s="13" t="inlineStr">
        <is>
          <t>영업팀</t>
        </is>
      </c>
      <c r="B50" s="13" t="inlineStr">
        <is>
          <t>점포명</t>
        </is>
      </c>
      <c r="C50" s="13" t="inlineStr">
        <is>
          <t>상품</t>
        </is>
      </c>
      <c r="D50" s="13" t="inlineStr">
        <is>
          <t>26.07 일매출</t>
        </is>
      </c>
      <c r="E50" s="13" t="inlineStr">
        <is>
          <t>25.07 일매출</t>
        </is>
      </c>
      <c r="F50" s="13" t="inlineStr">
        <is>
          <t>신장률</t>
        </is>
      </c>
    </row>
    <row r="51">
      <c r="A51" s="15" t="inlineStr">
        <is>
          <t>7팀</t>
        </is>
      </c>
      <c r="B51" s="20" t="inlineStr">
        <is>
          <t>동탄하이페리온점</t>
        </is>
      </c>
      <c r="C51" s="20" t="inlineStr">
        <is>
          <t>신라면로제봉지, 배홍동비빔면 외 2종</t>
        </is>
      </c>
      <c r="D51" s="21" t="n">
        <v>14423</v>
      </c>
      <c r="E51" s="21" t="n">
        <v>605</v>
      </c>
      <c r="F51" s="15" t="inlineStr">
        <is>
          <t>2,384.7%</t>
        </is>
      </c>
    </row>
    <row r="52">
      <c r="A52" s="15" t="inlineStr">
        <is>
          <t>5팀</t>
        </is>
      </c>
      <c r="B52" s="20" t="inlineStr">
        <is>
          <t>산본하이어스점</t>
        </is>
      </c>
      <c r="C52" s="20" t="inlineStr">
        <is>
          <t>배홍동비빔면, 하이네켄캔 외 2종</t>
        </is>
      </c>
      <c r="D52" s="21" t="n">
        <v>45272</v>
      </c>
      <c r="E52" s="21" t="n">
        <v>4576</v>
      </c>
      <c r="F52" s="15" t="inlineStr">
        <is>
          <t>989.3%</t>
        </is>
      </c>
    </row>
    <row r="53">
      <c r="A53" s="15" t="inlineStr">
        <is>
          <t>1팀</t>
        </is>
      </c>
      <c r="B53" s="20" t="inlineStr">
        <is>
          <t>광교중흥점</t>
        </is>
      </c>
      <c r="C53" s="20" t="inlineStr">
        <is>
          <t>신라면, 짜파게티</t>
        </is>
      </c>
      <c r="D53" s="21" t="n">
        <v>4973</v>
      </c>
      <c r="E53" s="21" t="n">
        <v>987</v>
      </c>
      <c r="F53" s="15" t="inlineStr">
        <is>
          <t>503.8%</t>
        </is>
      </c>
    </row>
    <row r="54">
      <c r="A54" s="15" t="inlineStr">
        <is>
          <t>4팀</t>
        </is>
      </c>
      <c r="B54" s="20" t="inlineStr">
        <is>
          <t>장안빌리지점</t>
        </is>
      </c>
      <c r="C54" s="20" t="inlineStr">
        <is>
          <t>신라면, 카스캔473ml6입번들팩</t>
        </is>
      </c>
      <c r="D54" s="21" t="n">
        <v>11142</v>
      </c>
      <c r="E54" s="21" t="n">
        <v>2239</v>
      </c>
      <c r="F54" s="15" t="inlineStr">
        <is>
          <t>497.7%</t>
        </is>
      </c>
    </row>
    <row r="55">
      <c r="A55" s="15" t="inlineStr">
        <is>
          <t>9팀</t>
        </is>
      </c>
      <c r="B55" s="20" t="inlineStr">
        <is>
          <t>화성상신중학교점</t>
        </is>
      </c>
      <c r="C55" s="20" t="inlineStr">
        <is>
          <t>신라면, 팔도비빔면</t>
        </is>
      </c>
      <c r="D55" s="21" t="n">
        <v>19477</v>
      </c>
      <c r="E55" s="21" t="n">
        <v>4063</v>
      </c>
      <c r="F55" s="15" t="inlineStr">
        <is>
          <t>479.4%</t>
        </is>
      </c>
    </row>
    <row r="57" ht="22" customHeight="1">
      <c r="A57" s="18" t="inlineStr">
        <is>
          <t>※ APPENDIX 2. 6월 팀별 점두전개점 일매출 신장률 (단위: 원)</t>
        </is>
      </c>
      <c r="B57" s="10" t="n"/>
      <c r="C57" s="10" t="n"/>
      <c r="D57" s="10" t="n"/>
      <c r="E57" s="10" t="n"/>
      <c r="F57" s="10" t="n"/>
      <c r="G57" s="10" t="n"/>
    </row>
    <row r="58">
      <c r="A58" s="13" t="inlineStr">
        <is>
          <t>영업팀</t>
        </is>
      </c>
      <c r="B58" s="13" t="inlineStr">
        <is>
          <t>점포수</t>
        </is>
      </c>
      <c r="C58" s="13" t="inlineStr">
        <is>
          <t>26.06 일매출</t>
        </is>
      </c>
      <c r="D58" s="13" t="inlineStr">
        <is>
          <t>25.06 일매출</t>
        </is>
      </c>
      <c r="E58" s="13" t="inlineStr">
        <is>
          <t>신장률</t>
        </is>
      </c>
    </row>
    <row r="59">
      <c r="A59" s="20" t="inlineStr">
        <is>
          <t>수원영업1팀</t>
        </is>
      </c>
      <c r="B59" s="15" t="n">
        <v>12</v>
      </c>
      <c r="C59" s="21" t="n">
        <v>2203824</v>
      </c>
      <c r="D59" s="21" t="n">
        <v>1928774</v>
      </c>
      <c r="E59" s="15" t="inlineStr">
        <is>
          <t>114.26%</t>
        </is>
      </c>
    </row>
    <row r="60">
      <c r="A60" s="20" t="inlineStr">
        <is>
          <t>수원영업2팀</t>
        </is>
      </c>
      <c r="B60" s="15" t="n">
        <v>20</v>
      </c>
      <c r="C60" s="21" t="n">
        <v>2600600</v>
      </c>
      <c r="D60" s="21" t="n">
        <v>2327588</v>
      </c>
      <c r="E60" s="15" t="inlineStr">
        <is>
          <t>111.73%</t>
        </is>
      </c>
    </row>
    <row r="61">
      <c r="A61" s="20" t="inlineStr">
        <is>
          <t>수원영업3팀</t>
        </is>
      </c>
      <c r="B61" s="15" t="n">
        <v>6</v>
      </c>
      <c r="C61" s="21" t="n">
        <v>2046884</v>
      </c>
      <c r="D61" s="21" t="n">
        <v>1782673</v>
      </c>
      <c r="E61" s="15" t="inlineStr">
        <is>
          <t>114.82%</t>
        </is>
      </c>
    </row>
    <row r="62">
      <c r="A62" s="20" t="inlineStr">
        <is>
          <t>수원영업4팀</t>
        </is>
      </c>
      <c r="B62" s="15" t="n">
        <v>13</v>
      </c>
      <c r="C62" s="21" t="n">
        <v>2169235</v>
      </c>
      <c r="D62" s="21" t="n">
        <v>2027682</v>
      </c>
      <c r="E62" s="15" t="inlineStr">
        <is>
          <t>106.98%</t>
        </is>
      </c>
    </row>
    <row r="63">
      <c r="A63" s="20" t="inlineStr">
        <is>
          <t>수원영업5팀</t>
        </is>
      </c>
      <c r="B63" s="15" t="n">
        <v>14</v>
      </c>
      <c r="C63" s="21" t="n">
        <v>2485621</v>
      </c>
      <c r="D63" s="21" t="n">
        <v>2411177</v>
      </c>
      <c r="E63" s="15" t="inlineStr">
        <is>
          <t>103.09%</t>
        </is>
      </c>
    </row>
    <row r="64">
      <c r="A64" s="20" t="inlineStr">
        <is>
          <t>수원영업6팀</t>
        </is>
      </c>
      <c r="B64" s="15" t="n">
        <v>9</v>
      </c>
      <c r="C64" s="21" t="n">
        <v>2493883</v>
      </c>
      <c r="D64" s="21" t="n">
        <v>2340683</v>
      </c>
      <c r="E64" s="15" t="inlineStr">
        <is>
          <t>106.55%</t>
        </is>
      </c>
    </row>
    <row r="65">
      <c r="A65" s="20" t="inlineStr">
        <is>
          <t>수원영업7팀</t>
        </is>
      </c>
      <c r="B65" s="15" t="n">
        <v>16</v>
      </c>
      <c r="C65" s="21" t="n">
        <v>2526522</v>
      </c>
      <c r="D65" s="21" t="n">
        <v>2144650</v>
      </c>
      <c r="E65" s="15" t="inlineStr">
        <is>
          <t>117.81%</t>
        </is>
      </c>
    </row>
    <row r="66">
      <c r="A66" s="20" t="inlineStr">
        <is>
          <t>수원영업8팀</t>
        </is>
      </c>
      <c r="B66" s="15" t="n">
        <v>6</v>
      </c>
      <c r="C66" s="21" t="n">
        <v>2502098</v>
      </c>
      <c r="D66" s="21" t="n">
        <v>2456324</v>
      </c>
      <c r="E66" s="15" t="inlineStr">
        <is>
          <t>101.86%</t>
        </is>
      </c>
    </row>
    <row r="67">
      <c r="A67" s="20" t="inlineStr">
        <is>
          <t>수원영업9팀</t>
        </is>
      </c>
      <c r="B67" s="15" t="n">
        <v>11</v>
      </c>
      <c r="C67" s="21" t="n">
        <v>2084906</v>
      </c>
      <c r="D67" s="21" t="n">
        <v>2126290</v>
      </c>
      <c r="E67" s="15" t="inlineStr">
        <is>
          <t>98.05%</t>
        </is>
      </c>
    </row>
    <row r="69" ht="16" customHeight="1">
      <c r="A69" s="6" t="inlineStr">
        <is>
          <t xml:space="preserve">  - 수원8팀 화성파인밸리점 6/30 개점에 따른 전년비 왜곡 보정</t>
        </is>
      </c>
    </row>
  </sheetData>
  <mergeCells count="16">
    <mergeCell ref="A14:G14"/>
    <mergeCell ref="A1:G1"/>
    <mergeCell ref="A31:G31"/>
    <mergeCell ref="A3:G3"/>
    <mergeCell ref="A6:G6"/>
    <mergeCell ref="A69:G69"/>
    <mergeCell ref="A30:G30"/>
    <mergeCell ref="A15:G15"/>
    <mergeCell ref="A29:G29"/>
    <mergeCell ref="A28:G28"/>
    <mergeCell ref="A57:G57"/>
    <mergeCell ref="A33:G33"/>
    <mergeCell ref="A49:G49"/>
    <mergeCell ref="A47:G47"/>
    <mergeCell ref="A5:G5"/>
    <mergeCell ref="A46:G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6" customHeight="1">
      <c r="A1" s="9" t="inlineStr">
        <is>
          <t>2. 상권최적화 추진</t>
        </is>
      </c>
      <c r="B1" s="10" t="n"/>
      <c r="C1" s="10" t="n"/>
      <c r="D1" s="10" t="n"/>
      <c r="E1" s="10" t="n"/>
      <c r="F1" s="10" t="n"/>
      <c r="G1" s="10" t="n"/>
    </row>
    <row r="3" ht="22" customHeight="1">
      <c r="A3" s="18" t="inlineStr">
        <is>
          <t>1) 상권최적화 실적 현황 (6월 마감) (단위: 점)</t>
        </is>
      </c>
      <c r="B3" s="10" t="n"/>
      <c r="C3" s="10" t="n"/>
      <c r="D3" s="10" t="n"/>
    </row>
    <row r="4">
      <c r="A4" s="13" t="inlineStr">
        <is>
          <t>상권최적화</t>
        </is>
      </c>
      <c r="B4" s="13" t="inlineStr">
        <is>
          <t>6월 누계</t>
        </is>
      </c>
      <c r="C4" s="13" t="inlineStr">
        <is>
          <t>하반기 계획</t>
        </is>
      </c>
      <c r="D4" s="13" t="inlineStr">
        <is>
          <t>합계</t>
        </is>
      </c>
    </row>
    <row r="5">
      <c r="A5" s="19" t="inlineStr">
        <is>
          <t>이전/대체</t>
        </is>
      </c>
      <c r="B5" s="15" t="n">
        <v>12</v>
      </c>
      <c r="C5" s="15" t="n">
        <v>9</v>
      </c>
      <c r="D5" s="15" t="n">
        <v>22</v>
      </c>
    </row>
    <row r="6">
      <c r="A6" s="19" t="inlineStr">
        <is>
          <t>통합</t>
        </is>
      </c>
      <c r="B6" s="15" t="n">
        <v>2</v>
      </c>
      <c r="C6" s="15" t="n">
        <v>21</v>
      </c>
      <c r="D6" s="15" t="n">
        <v>23</v>
      </c>
    </row>
    <row r="7">
      <c r="A7" s="19" t="inlineStr">
        <is>
          <t>확장</t>
        </is>
      </c>
      <c r="B7" s="15" t="n">
        <v>1</v>
      </c>
      <c r="C7" s="15" t="n">
        <v>14</v>
      </c>
      <c r="D7" s="15" t="n">
        <v>15</v>
      </c>
    </row>
    <row r="8">
      <c r="A8" s="16" t="inlineStr">
        <is>
          <t>합계</t>
        </is>
      </c>
      <c r="B8" s="16" t="n">
        <v>15</v>
      </c>
      <c r="C8" s="16" t="n">
        <v>44</v>
      </c>
      <c r="D8" s="16" t="n">
        <v>60</v>
      </c>
    </row>
    <row r="10" ht="22" customHeight="1">
      <c r="A10" s="18" t="inlineStr">
        <is>
          <t>2) 상권최적화 성공 사례 (단위: 천원, %)</t>
        </is>
      </c>
      <c r="B10" s="10" t="n"/>
      <c r="C10" s="10" t="n"/>
      <c r="D10" s="10" t="n"/>
      <c r="E10" s="10" t="n"/>
    </row>
    <row r="11">
      <c r="A11" s="13" t="inlineStr">
        <is>
          <t>점포명</t>
        </is>
      </c>
      <c r="B11" s="13" t="inlineStr">
        <is>
          <t>최적화 유형</t>
        </is>
      </c>
      <c r="C11" s="13" t="inlineStr">
        <is>
          <t>최적화 익월 일매출</t>
        </is>
      </c>
      <c r="D11" s="13" t="inlineStr">
        <is>
          <t>전년 동월 일매출</t>
        </is>
      </c>
      <c r="E11" s="13" t="inlineStr">
        <is>
          <t>신장률</t>
        </is>
      </c>
    </row>
    <row r="12">
      <c r="A12" s="20" t="inlineStr">
        <is>
          <t>탑동중앙점</t>
        </is>
      </c>
      <c r="B12" s="15" t="inlineStr">
        <is>
          <t>이전/대체</t>
        </is>
      </c>
      <c r="C12" s="21" t="n">
        <v>4783</v>
      </c>
      <c r="D12" s="21" t="n">
        <v>1206</v>
      </c>
      <c r="E12" s="15" t="inlineStr">
        <is>
          <t>397%</t>
        </is>
      </c>
    </row>
    <row r="13">
      <c r="A13" s="20" t="inlineStr">
        <is>
          <t>화성대림점</t>
        </is>
      </c>
      <c r="B13" s="15" t="inlineStr">
        <is>
          <t>이전/대체</t>
        </is>
      </c>
      <c r="C13" s="21" t="n">
        <v>2839</v>
      </c>
      <c r="D13" s="21" t="n">
        <v>1421</v>
      </c>
      <c r="E13" s="15" t="inlineStr">
        <is>
          <t>200%</t>
        </is>
      </c>
    </row>
    <row r="14">
      <c r="A14" s="20" t="inlineStr">
        <is>
          <t>수원안다미로점</t>
        </is>
      </c>
      <c r="B14" s="15" t="inlineStr">
        <is>
          <t>이전/대체</t>
        </is>
      </c>
      <c r="C14" s="21" t="n">
        <v>4405</v>
      </c>
      <c r="D14" s="21" t="n">
        <v>1675</v>
      </c>
      <c r="E14" s="15" t="inlineStr">
        <is>
          <t>263%</t>
        </is>
      </c>
    </row>
    <row r="15">
      <c r="A15" s="20" t="inlineStr">
        <is>
          <t>광교웰빙타운점</t>
        </is>
      </c>
      <c r="B15" s="15" t="inlineStr">
        <is>
          <t>통합</t>
        </is>
      </c>
      <c r="C15" s="21" t="n">
        <v>2650</v>
      </c>
      <c r="D15" s="21" t="n">
        <v>2226</v>
      </c>
      <c r="E15" s="15" t="inlineStr">
        <is>
          <t>119%</t>
        </is>
      </c>
    </row>
    <row r="16">
      <c r="A16" s="20" t="inlineStr">
        <is>
          <t>화성병점원룸점</t>
        </is>
      </c>
      <c r="B16" s="15" t="inlineStr">
        <is>
          <t>통합</t>
        </is>
      </c>
      <c r="C16" s="21" t="n">
        <v>1850</v>
      </c>
      <c r="D16" s="21" t="n">
        <v>1392</v>
      </c>
      <c r="E16" s="15" t="inlineStr">
        <is>
          <t>133%</t>
        </is>
      </c>
    </row>
    <row r="17">
      <c r="A17" s="20" t="inlineStr">
        <is>
          <t>봉담에듀포레점</t>
        </is>
      </c>
      <c r="B17" s="15" t="inlineStr">
        <is>
          <t>확장</t>
        </is>
      </c>
      <c r="C17" s="21" t="n">
        <v>1782</v>
      </c>
      <c r="D17" s="21" t="n">
        <v>1191</v>
      </c>
      <c r="E17" s="15" t="inlineStr">
        <is>
          <t>150%</t>
        </is>
      </c>
    </row>
    <row r="19" ht="16" customHeight="1">
      <c r="A19" s="6" t="inlineStr">
        <is>
          <t xml:space="preserve">  - 상권최적화 진행점 이전/대체 12점, 통합 2점, 확장 1건 6월 마무리</t>
        </is>
      </c>
    </row>
    <row r="20" ht="16" customHeight="1">
      <c r="A20" s="6" t="inlineStr">
        <is>
          <t xml:space="preserve">  - 목표대비 +1점으로 권역 최상위 실적 진행</t>
        </is>
      </c>
    </row>
    <row r="21" ht="16" customHeight="1">
      <c r="A21" s="6" t="inlineStr"/>
    </row>
    <row r="22" ht="16" customHeight="1">
      <c r="A22" s="6" t="inlineStr">
        <is>
          <t>3) 하반기 상권최적화 진행 방안</t>
        </is>
      </c>
    </row>
    <row r="23" ht="16" customHeight="1">
      <c r="A23" s="6" t="inlineStr">
        <is>
          <t xml:space="preserve">  - 주차별 유사업종A 방문, 후보점 발굴 진행 (7월 주차별 취합 진행)</t>
        </is>
      </c>
    </row>
    <row r="24" ht="16" customHeight="1">
      <c r="A24" s="6" t="inlineStr">
        <is>
          <t xml:space="preserve">  - 스마트그로서리 기반 유사업종B 후보점 발굴 추가 진행</t>
        </is>
      </c>
    </row>
    <row r="25" ht="16" customHeight="1">
      <c r="A25" s="6" t="inlineStr">
        <is>
          <t xml:space="preserve">  - 지역별 SP + 영업팀장 동행 순회를 통한 상권최적화 인사이트 확대, 협업 시너지 창출</t>
        </is>
      </c>
    </row>
  </sheetData>
  <mergeCells count="10">
    <mergeCell ref="A1:G1"/>
    <mergeCell ref="A10:E10"/>
    <mergeCell ref="A21:G21"/>
    <mergeCell ref="A3:D3"/>
    <mergeCell ref="A22:G22"/>
    <mergeCell ref="A20:G20"/>
    <mergeCell ref="A24:G24"/>
    <mergeCell ref="A25:G25"/>
    <mergeCell ref="A19:G19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9" t="inlineStr">
        <is>
          <t>3. 간편식사 확대 방안</t>
        </is>
      </c>
      <c r="B1" s="10" t="n"/>
      <c r="C1" s="10" t="n"/>
      <c r="D1" s="10" t="n"/>
      <c r="E1" s="10" t="n"/>
      <c r="F1" s="10" t="n"/>
      <c r="G1" s="10" t="n"/>
    </row>
    <row r="3" ht="22" customHeight="1">
      <c r="A3" s="11" t="inlineStr">
        <is>
          <t>1) 간편식사 실적 추이</t>
        </is>
      </c>
      <c r="B3" s="10" t="n"/>
      <c r="C3" s="10" t="n"/>
      <c r="D3" s="10" t="n"/>
      <c r="E3" s="10" t="n"/>
      <c r="F3" s="10" t="n"/>
      <c r="G3" s="10" t="n"/>
    </row>
    <row r="4">
      <c r="A4" s="12" t="inlineStr">
        <is>
          <t>(단위 : 일매출 / %)</t>
        </is>
      </c>
    </row>
    <row r="5">
      <c r="A5" s="13" t="inlineStr">
        <is>
          <t>지역부</t>
        </is>
      </c>
      <c r="B5" s="13" t="inlineStr">
        <is>
          <t>25년 1월</t>
        </is>
      </c>
      <c r="C5" s="13" t="inlineStr">
        <is>
          <t>25년 2월</t>
        </is>
      </c>
      <c r="D5" s="13" t="inlineStr">
        <is>
          <t>25년 3월</t>
        </is>
      </c>
      <c r="E5" s="13" t="inlineStr">
        <is>
          <t>25년 4월</t>
        </is>
      </c>
      <c r="F5" s="13" t="inlineStr">
        <is>
          <t>25년 5월</t>
        </is>
      </c>
      <c r="G5" s="13" t="inlineStr">
        <is>
          <t>25년 6월</t>
        </is>
      </c>
    </row>
    <row r="6">
      <c r="A6" s="14" t="inlineStr">
        <is>
          <t>25년 실적</t>
        </is>
      </c>
      <c r="B6" s="15" t="n">
        <v>78300</v>
      </c>
      <c r="C6" s="15" t="n">
        <v>76335</v>
      </c>
      <c r="D6" s="15" t="n">
        <v>89562</v>
      </c>
      <c r="E6" s="15" t="n">
        <v>95721</v>
      </c>
      <c r="F6" s="15" t="n">
        <v>92935</v>
      </c>
      <c r="G6" s="15" t="n">
        <v>96908</v>
      </c>
    </row>
    <row r="7">
      <c r="A7" s="13" t="inlineStr">
        <is>
          <t>수원지역부</t>
        </is>
      </c>
      <c r="B7" s="13" t="inlineStr">
        <is>
          <t>26년 1월</t>
        </is>
      </c>
      <c r="C7" s="13" t="inlineStr">
        <is>
          <t>26년 2월</t>
        </is>
      </c>
      <c r="D7" s="13" t="inlineStr">
        <is>
          <t>26년 3월</t>
        </is>
      </c>
      <c r="E7" s="13" t="inlineStr">
        <is>
          <t>26년 4월</t>
        </is>
      </c>
      <c r="F7" s="13" t="inlineStr">
        <is>
          <t>26년 5월</t>
        </is>
      </c>
      <c r="G7" s="13" t="inlineStr">
        <is>
          <t>26년 6월</t>
        </is>
      </c>
    </row>
    <row r="8">
      <c r="A8" s="14" t="inlineStr">
        <is>
          <t>26년 실적</t>
        </is>
      </c>
      <c r="B8" s="15" t="n">
        <v>86287</v>
      </c>
      <c r="C8" s="15" t="n">
        <v>82746</v>
      </c>
      <c r="D8" s="15" t="n">
        <v>97623</v>
      </c>
      <c r="E8" s="15" t="n">
        <v>101274</v>
      </c>
      <c r="F8" s="15" t="n">
        <v>99626</v>
      </c>
      <c r="G8" s="15" t="n">
        <v>104075</v>
      </c>
    </row>
    <row r="9">
      <c r="A9" s="16" t="inlineStr">
        <is>
          <t>전년비</t>
        </is>
      </c>
      <c r="B9" s="15" t="inlineStr">
        <is>
          <t>110.2%</t>
        </is>
      </c>
      <c r="C9" s="15" t="inlineStr">
        <is>
          <t>108.4%</t>
        </is>
      </c>
      <c r="D9" s="15" t="inlineStr">
        <is>
          <t>109.0%</t>
        </is>
      </c>
      <c r="E9" s="15" t="inlineStr">
        <is>
          <t>105.8%(물류파업)</t>
        </is>
      </c>
      <c r="F9" s="15" t="inlineStr">
        <is>
          <t>107.2%</t>
        </is>
      </c>
      <c r="G9" s="15" t="inlineStr">
        <is>
          <t>104.4%</t>
        </is>
      </c>
    </row>
    <row r="10">
      <c r="A10" s="17" t="inlineStr">
        <is>
          <t>전사 순위</t>
        </is>
      </c>
      <c r="B10" s="15" t="inlineStr">
        <is>
          <t>3위</t>
        </is>
      </c>
      <c r="C10" s="15" t="inlineStr">
        <is>
          <t>4위</t>
        </is>
      </c>
      <c r="D10" s="15" t="inlineStr">
        <is>
          <t>11위</t>
        </is>
      </c>
      <c r="E10" s="15" t="inlineStr">
        <is>
          <t>13위</t>
        </is>
      </c>
      <c r="F10" s="15" t="inlineStr">
        <is>
          <t>18위</t>
        </is>
      </c>
      <c r="G10" s="15" t="inlineStr">
        <is>
          <t>5위</t>
        </is>
      </c>
    </row>
    <row r="12" ht="16" customHeight="1">
      <c r="A12" s="6" t="inlineStr">
        <is>
          <t>2) 목표</t>
        </is>
      </c>
    </row>
    <row r="13" ht="16" customHeight="1">
      <c r="A13" s="6" t="inlineStr">
        <is>
          <t xml:space="preserve">  - 발주 : 25년 7월 40.5 → 목표 42.5 (105%) / 26년 7월 1주차 현재 40.5</t>
        </is>
      </c>
    </row>
    <row r="14" ht="16" customHeight="1">
      <c r="A14" s="6" t="inlineStr">
        <is>
          <t xml:space="preserve">  - 일매출 : 25년 7월 96,044원 → 목표 100,846원 (105%) / 26년 7월 1주차 현재 97,965원</t>
        </is>
      </c>
    </row>
    <row r="16" ht="22" customHeight="1">
      <c r="A16" s="11" t="inlineStr">
        <is>
          <t>나. 간편식사 전개 방안 (하반기 진행점, 단위: 점)</t>
        </is>
      </c>
      <c r="B16" s="10" t="n"/>
      <c r="C16" s="10" t="n"/>
      <c r="D16" s="10" t="n"/>
      <c r="E16" s="10" t="n"/>
      <c r="F16" s="10" t="n"/>
      <c r="G16" s="10" t="n"/>
    </row>
    <row r="17" ht="22" customHeight="1">
      <c r="A17" s="18" t="inlineStr">
        <is>
          <t>1) 주먹밥 + 음료 (학생층 타겟팅)</t>
        </is>
      </c>
      <c r="B17" s="10" t="n"/>
      <c r="C17" s="10" t="n"/>
    </row>
    <row r="18">
      <c r="A18" s="13" t="inlineStr">
        <is>
          <t>구분</t>
        </is>
      </c>
      <c r="B18" s="13" t="inlineStr">
        <is>
          <t>하반기 진행점(목표)</t>
        </is>
      </c>
    </row>
    <row r="19">
      <c r="A19" s="16" t="inlineStr">
        <is>
          <t>수원지역부</t>
        </is>
      </c>
      <c r="B19" s="16" t="n">
        <v>87</v>
      </c>
    </row>
    <row r="20">
      <c r="A20" s="19" t="inlineStr">
        <is>
          <t>수원영업1팀</t>
        </is>
      </c>
      <c r="B20" s="15" t="n">
        <v>14</v>
      </c>
    </row>
    <row r="21">
      <c r="A21" s="19" t="inlineStr">
        <is>
          <t>수원영업2팀</t>
        </is>
      </c>
      <c r="B21" s="15" t="n">
        <v>13</v>
      </c>
    </row>
    <row r="22">
      <c r="A22" s="19" t="inlineStr">
        <is>
          <t>수원영업3팀</t>
        </is>
      </c>
      <c r="B22" s="15" t="n">
        <v>9</v>
      </c>
    </row>
    <row r="23">
      <c r="A23" s="19" t="inlineStr">
        <is>
          <t>수원영업4팀</t>
        </is>
      </c>
      <c r="B23" s="15" t="n">
        <v>10</v>
      </c>
    </row>
    <row r="24">
      <c r="A24" s="19" t="inlineStr">
        <is>
          <t>수원영업5팀</t>
        </is>
      </c>
      <c r="B24" s="15" t="n">
        <v>12</v>
      </c>
    </row>
    <row r="25">
      <c r="A25" s="19" t="inlineStr">
        <is>
          <t>수원영업6팀</t>
        </is>
      </c>
      <c r="B25" s="15" t="n">
        <v>13</v>
      </c>
    </row>
    <row r="26">
      <c r="A26" s="19" t="inlineStr">
        <is>
          <t>수원영업7팀</t>
        </is>
      </c>
      <c r="B26" s="15" t="n">
        <v>6</v>
      </c>
    </row>
    <row r="27">
      <c r="A27" s="19" t="inlineStr">
        <is>
          <t>수원영업8팀</t>
        </is>
      </c>
      <c r="B27" s="15" t="n">
        <v>1</v>
      </c>
    </row>
    <row r="28">
      <c r="A28" s="19" t="inlineStr">
        <is>
          <t>수원영업9팀</t>
        </is>
      </c>
      <c r="B28" s="15" t="n">
        <v>9</v>
      </c>
    </row>
    <row r="30" ht="16" customHeight="1">
      <c r="A30" s="6" t="inlineStr">
        <is>
          <t xml:space="preserve">  - 하교 후 14~16시, 학원이동 19~21시 삼각김밥+음료 증정행사 진행</t>
        </is>
      </c>
    </row>
    <row r="31" ht="16" customHeight="1">
      <c r="A31" s="6" t="inlineStr">
        <is>
          <t xml:space="preserve">  - 삼각김밥 증정행사 및 모음진열·POP 확대 87점 진행</t>
        </is>
      </c>
    </row>
    <row r="32" ht="16" customHeight="1">
      <c r="A32" s="6" t="inlineStr">
        <is>
          <t xml:space="preserve">  - 삼각김밥 소분류 일매출 38,103원, 6월 기준 전년비 105.4% 달성 (6월 52점 기준)</t>
        </is>
      </c>
    </row>
    <row r="34" ht="22" customHeight="1">
      <c r="A34" s="18" t="inlineStr">
        <is>
          <t>2) 헬시플레저 샌드위치 SKU 최적화</t>
        </is>
      </c>
      <c r="B34" s="10" t="n"/>
      <c r="C34" s="10" t="n"/>
    </row>
    <row r="35">
      <c r="A35" s="13" t="inlineStr">
        <is>
          <t>구분</t>
        </is>
      </c>
      <c r="B35" s="13" t="inlineStr">
        <is>
          <t>하반기 진행점(목표)</t>
        </is>
      </c>
    </row>
    <row r="36">
      <c r="A36" s="16" t="inlineStr">
        <is>
          <t>수원지역부</t>
        </is>
      </c>
      <c r="B36" s="16" t="n">
        <v>97</v>
      </c>
    </row>
    <row r="37">
      <c r="A37" s="19" t="inlineStr">
        <is>
          <t>수원영업1팀</t>
        </is>
      </c>
      <c r="B37" s="15" t="n">
        <v>14</v>
      </c>
    </row>
    <row r="38">
      <c r="A38" s="19" t="inlineStr">
        <is>
          <t>수원영업2팀</t>
        </is>
      </c>
      <c r="B38" s="15" t="n">
        <v>18</v>
      </c>
    </row>
    <row r="39">
      <c r="A39" s="19" t="inlineStr">
        <is>
          <t>수원영업3팀</t>
        </is>
      </c>
      <c r="B39" s="15" t="n">
        <v>6</v>
      </c>
    </row>
    <row r="40">
      <c r="A40" s="19" t="inlineStr">
        <is>
          <t>수원영업4팀</t>
        </is>
      </c>
      <c r="B40" s="15" t="n">
        <v>10</v>
      </c>
    </row>
    <row r="41">
      <c r="A41" s="19" t="inlineStr">
        <is>
          <t>수원영업5팀</t>
        </is>
      </c>
      <c r="B41" s="15" t="n">
        <v>12</v>
      </c>
    </row>
    <row r="42">
      <c r="A42" s="19" t="inlineStr">
        <is>
          <t>수원영업6팀</t>
        </is>
      </c>
      <c r="B42" s="15" t="n">
        <v>10</v>
      </c>
    </row>
    <row r="43">
      <c r="A43" s="19" t="inlineStr">
        <is>
          <t>수원영업7팀</t>
        </is>
      </c>
      <c r="B43" s="15" t="n">
        <v>6</v>
      </c>
    </row>
    <row r="44">
      <c r="A44" s="19" t="inlineStr">
        <is>
          <t>수원영업8팀</t>
        </is>
      </c>
      <c r="B44" s="15" t="n">
        <v>9</v>
      </c>
    </row>
    <row r="45">
      <c r="A45" s="19" t="inlineStr">
        <is>
          <t>수원영업9팀</t>
        </is>
      </c>
      <c r="B45" s="15" t="n">
        <v>12</v>
      </c>
    </row>
    <row r="47" ht="16" customHeight="1">
      <c r="A47" s="6" t="inlineStr">
        <is>
          <t xml:space="preserve">  - 저당 샌드위치 + 지중해 올리브 컨셉 도입, 진열 정비 총 97점 진행</t>
        </is>
      </c>
    </row>
    <row r="48" ht="16" customHeight="1">
      <c r="A48" s="6" t="inlineStr">
        <is>
          <t xml:space="preserve">  - 일매출 31,940원, 전년비 110.6%, 전월비 103.2% 기록 (6월 58점 기준)</t>
        </is>
      </c>
    </row>
    <row r="50" ht="22" customHeight="1">
      <c r="A50" s="18" t="inlineStr">
        <is>
          <t>3) 간편식사 아크릴 진열대 도입</t>
        </is>
      </c>
      <c r="B50" s="10" t="n"/>
      <c r="C50" s="10" t="n"/>
    </row>
    <row r="51">
      <c r="A51" s="13" t="inlineStr">
        <is>
          <t>구분</t>
        </is>
      </c>
      <c r="B51" s="13" t="inlineStr">
        <is>
          <t>하반기 진행점(목표)</t>
        </is>
      </c>
    </row>
    <row r="52">
      <c r="A52" s="16" t="inlineStr">
        <is>
          <t>수원지역부</t>
        </is>
      </c>
      <c r="B52" s="16" t="n">
        <v>147</v>
      </c>
    </row>
    <row r="53">
      <c r="A53" s="19" t="inlineStr">
        <is>
          <t>수원영업1팀</t>
        </is>
      </c>
      <c r="B53" s="15" t="n">
        <v>18</v>
      </c>
    </row>
    <row r="54">
      <c r="A54" s="19" t="inlineStr">
        <is>
          <t>수원영업2팀</t>
        </is>
      </c>
      <c r="B54" s="15" t="n">
        <v>22</v>
      </c>
    </row>
    <row r="55">
      <c r="A55" s="19" t="inlineStr">
        <is>
          <t>수원영업3팀</t>
        </is>
      </c>
      <c r="B55" s="15" t="n">
        <v>25</v>
      </c>
    </row>
    <row r="56">
      <c r="A56" s="19" t="inlineStr">
        <is>
          <t>수원영업4팀</t>
        </is>
      </c>
      <c r="B56" s="15" t="n">
        <v>14</v>
      </c>
    </row>
    <row r="57">
      <c r="A57" s="19" t="inlineStr">
        <is>
          <t>수원영업5팀</t>
        </is>
      </c>
      <c r="B57" s="15" t="n">
        <v>13</v>
      </c>
    </row>
    <row r="58">
      <c r="A58" s="19" t="inlineStr">
        <is>
          <t>수원영업6팀</t>
        </is>
      </c>
      <c r="B58" s="15" t="n">
        <v>13</v>
      </c>
    </row>
    <row r="59">
      <c r="A59" s="19" t="inlineStr">
        <is>
          <t>수원영업7팀</t>
        </is>
      </c>
      <c r="B59" s="15" t="n">
        <v>13</v>
      </c>
    </row>
    <row r="60">
      <c r="A60" s="19" t="inlineStr">
        <is>
          <t>수원영업8팀</t>
        </is>
      </c>
      <c r="B60" s="15" t="n">
        <v>16</v>
      </c>
    </row>
    <row r="61">
      <c r="A61" s="19" t="inlineStr">
        <is>
          <t>수원영업9팀</t>
        </is>
      </c>
      <c r="B61" s="15" t="n">
        <v>13</v>
      </c>
    </row>
    <row r="63" ht="16" customHeight="1">
      <c r="A63" s="6" t="inlineStr">
        <is>
          <t xml:space="preserve">  - ① 발주 확대형 보조진열대, ② 계단식 보조진열대 TWO-트랙 전개</t>
        </is>
      </c>
    </row>
    <row r="64" ht="16" customHeight="1">
      <c r="A64" s="6" t="inlineStr">
        <is>
          <t xml:space="preserve">  - 발주 확대형 72점(144개), 계단식 75점(150개) 도입 예정 (예산 전용중)</t>
        </is>
      </c>
    </row>
  </sheetData>
  <mergeCells count="17">
    <mergeCell ref="A32:G32"/>
    <mergeCell ref="A13:G13"/>
    <mergeCell ref="A14:G14"/>
    <mergeCell ref="A1:G1"/>
    <mergeCell ref="A31:G31"/>
    <mergeCell ref="A3:G3"/>
    <mergeCell ref="A12:G12"/>
    <mergeCell ref="A4:G4"/>
    <mergeCell ref="A17:C17"/>
    <mergeCell ref="A48:G48"/>
    <mergeCell ref="A30:G30"/>
    <mergeCell ref="A16:G16"/>
    <mergeCell ref="A64:G64"/>
    <mergeCell ref="A34:C34"/>
    <mergeCell ref="A50:C50"/>
    <mergeCell ref="A63:G63"/>
    <mergeCell ref="A47:G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9" t="inlineStr">
        <is>
          <t>4. GET커피 잔수·매출 확대</t>
        </is>
      </c>
      <c r="B1" s="10" t="n"/>
      <c r="C1" s="10" t="n"/>
      <c r="D1" s="10" t="n"/>
      <c r="E1" s="10" t="n"/>
      <c r="F1" s="10" t="n"/>
      <c r="G1" s="10" t="n"/>
    </row>
    <row r="3" ht="16" customHeight="1">
      <c r="A3" s="6" t="inlineStr">
        <is>
          <t>가. 목표</t>
        </is>
      </c>
    </row>
    <row r="4" ht="16" customHeight="1">
      <c r="A4" s="6" t="inlineStr">
        <is>
          <t xml:space="preserve">  - 잔수 : 25년 7월 6.3잔 → 26년 7월 현재 7.1잔 (9잔 목표)</t>
        </is>
      </c>
    </row>
    <row r="5" ht="16" customHeight="1">
      <c r="A5" s="6" t="inlineStr">
        <is>
          <t xml:space="preserve">  - 일매출 : 25년 7월 4,785원 → 26년 7월 현재 5,943원 (7,000원 목표)</t>
        </is>
      </c>
    </row>
    <row r="7" ht="22" customHeight="1">
      <c r="A7" s="11" t="inlineStr">
        <is>
          <t>1) GET커피 실적 추이</t>
        </is>
      </c>
      <c r="B7" s="10" t="n"/>
      <c r="C7" s="10" t="n"/>
      <c r="D7" s="10" t="n"/>
      <c r="E7" s="10" t="n"/>
      <c r="F7" s="10" t="n"/>
      <c r="G7" s="10" t="n"/>
    </row>
    <row r="8">
      <c r="A8" s="12" t="inlineStr">
        <is>
          <t>(단위 : 잔 / %)</t>
        </is>
      </c>
    </row>
    <row r="9">
      <c r="A9" s="13" t="inlineStr">
        <is>
          <t>지역부</t>
        </is>
      </c>
      <c r="B9" s="13" t="inlineStr">
        <is>
          <t>25년 1월</t>
        </is>
      </c>
      <c r="C9" s="13" t="inlineStr">
        <is>
          <t>25년 2월</t>
        </is>
      </c>
      <c r="D9" s="13" t="inlineStr">
        <is>
          <t>25년 3월</t>
        </is>
      </c>
      <c r="E9" s="13" t="inlineStr">
        <is>
          <t>25년 4월</t>
        </is>
      </c>
      <c r="F9" s="13" t="inlineStr">
        <is>
          <t>25년 5월</t>
        </is>
      </c>
      <c r="G9" s="13" t="inlineStr">
        <is>
          <t>25년 6월</t>
        </is>
      </c>
    </row>
    <row r="10">
      <c r="A10" s="14" t="inlineStr">
        <is>
          <t>25년 실적</t>
        </is>
      </c>
      <c r="B10" s="15" t="n">
        <v>5.4</v>
      </c>
      <c r="C10" s="15" t="n">
        <v>5.7</v>
      </c>
      <c r="D10" s="15" t="n">
        <v>5.9</v>
      </c>
      <c r="E10" s="15" t="n">
        <v>5.9</v>
      </c>
      <c r="F10" s="15" t="n">
        <v>6.1</v>
      </c>
      <c r="G10" s="15" t="n">
        <v>6</v>
      </c>
    </row>
    <row r="11">
      <c r="A11" s="13" t="inlineStr">
        <is>
          <t>수원지역부</t>
        </is>
      </c>
      <c r="B11" s="13" t="inlineStr">
        <is>
          <t>26년 1월</t>
        </is>
      </c>
      <c r="C11" s="13" t="inlineStr">
        <is>
          <t>26년 2월</t>
        </is>
      </c>
      <c r="D11" s="13" t="inlineStr">
        <is>
          <t>26년 3월</t>
        </is>
      </c>
      <c r="E11" s="13" t="inlineStr">
        <is>
          <t>26년 4월</t>
        </is>
      </c>
      <c r="F11" s="13" t="inlineStr">
        <is>
          <t>26년 5월</t>
        </is>
      </c>
      <c r="G11" s="13" t="inlineStr">
        <is>
          <t>26년 6월</t>
        </is>
      </c>
    </row>
    <row r="12">
      <c r="A12" s="14" t="inlineStr">
        <is>
          <t>26년 실적</t>
        </is>
      </c>
      <c r="B12" s="15" t="n">
        <v>6.6</v>
      </c>
      <c r="C12" s="15" t="n">
        <v>6.7</v>
      </c>
      <c r="D12" s="15" t="n">
        <v>7.3</v>
      </c>
      <c r="E12" s="15" t="n">
        <v>7.6</v>
      </c>
      <c r="F12" s="15" t="n">
        <v>7.2</v>
      </c>
      <c r="G12" s="15" t="n">
        <v>7.5</v>
      </c>
    </row>
    <row r="13">
      <c r="A13" s="16" t="inlineStr">
        <is>
          <t>전년비</t>
        </is>
      </c>
      <c r="B13" s="15" t="inlineStr">
        <is>
          <t>123.1%</t>
        </is>
      </c>
      <c r="C13" s="15" t="inlineStr">
        <is>
          <t>116.7%</t>
        </is>
      </c>
      <c r="D13" s="15" t="inlineStr">
        <is>
          <t>122.3%</t>
        </is>
      </c>
      <c r="E13" s="15" t="inlineStr">
        <is>
          <t>128.3%(물류파업)</t>
        </is>
      </c>
      <c r="F13" s="15" t="inlineStr">
        <is>
          <t>118.7%</t>
        </is>
      </c>
      <c r="G13" s="15" t="inlineStr">
        <is>
          <t>123.7%</t>
        </is>
      </c>
    </row>
    <row r="14">
      <c r="A14" s="17" t="inlineStr">
        <is>
          <t>전사 순위</t>
        </is>
      </c>
      <c r="B14" s="15" t="inlineStr">
        <is>
          <t>15위</t>
        </is>
      </c>
      <c r="C14" s="15" t="inlineStr">
        <is>
          <t>15위</t>
        </is>
      </c>
      <c r="D14" s="15" t="inlineStr">
        <is>
          <t>14위</t>
        </is>
      </c>
      <c r="E14" s="15" t="inlineStr">
        <is>
          <t>14위</t>
        </is>
      </c>
      <c r="F14" s="15" t="inlineStr">
        <is>
          <t>14위</t>
        </is>
      </c>
      <c r="G14" s="15" t="inlineStr">
        <is>
          <t>14위</t>
        </is>
      </c>
    </row>
    <row r="16" ht="22" customHeight="1">
      <c r="A16" s="11" t="inlineStr">
        <is>
          <t>나. 라심발리 도입</t>
        </is>
      </c>
      <c r="B16" s="10" t="n"/>
      <c r="C16" s="10" t="n"/>
      <c r="D16" s="10" t="n"/>
      <c r="E16" s="10" t="n"/>
      <c r="F16" s="10" t="n"/>
      <c r="G16" s="10" t="n"/>
    </row>
    <row r="17" ht="16" customHeight="1">
      <c r="A17" s="6" t="inlineStr">
        <is>
          <t xml:space="preserve">  - 수원지역부 라심발리 도입점 전체 73%(총 882점 중 644점) / 권역 65.5%</t>
        </is>
      </c>
    </row>
    <row r="18" ht="16" customHeight="1">
      <c r="A18" s="6" t="inlineStr">
        <is>
          <t xml:space="preserve">  - 라심발리 도입점 커피(자동) 일매출 전년 대비 6월 8,612원(178% 상승)</t>
        </is>
      </c>
    </row>
    <row r="20" ht="22" customHeight="1">
      <c r="A20" s="18" t="inlineStr">
        <is>
          <t>라심발리 교체 (단위: 점)</t>
        </is>
      </c>
      <c r="B20" s="10" t="n"/>
      <c r="C20" s="10" t="n"/>
      <c r="D20" s="10" t="n"/>
      <c r="E20" s="10" t="n"/>
      <c r="F20" s="10" t="n"/>
      <c r="G20" s="10" t="n"/>
    </row>
    <row r="21">
      <c r="A21" s="13" t="inlineStr">
        <is>
          <t>구분</t>
        </is>
      </c>
      <c r="B21" s="13" t="inlineStr">
        <is>
          <t>완료점(상반기)</t>
        </is>
      </c>
      <c r="C21" s="13" t="inlineStr">
        <is>
          <t>하반기 교체</t>
        </is>
      </c>
      <c r="D21" s="13" t="inlineStr">
        <is>
          <t>합계</t>
        </is>
      </c>
    </row>
    <row r="22">
      <c r="A22" s="16" t="inlineStr">
        <is>
          <t>수원지역부</t>
        </is>
      </c>
      <c r="B22" s="16" t="n">
        <v>59</v>
      </c>
      <c r="C22" s="16" t="n">
        <v>12</v>
      </c>
      <c r="D22" s="16" t="n">
        <v>71</v>
      </c>
    </row>
    <row r="23">
      <c r="A23" s="19" t="inlineStr">
        <is>
          <t>수원영업1팀</t>
        </is>
      </c>
      <c r="B23" s="15" t="n">
        <v>5</v>
      </c>
      <c r="C23" s="15" t="n">
        <v>1</v>
      </c>
      <c r="D23" s="15" t="n">
        <v>6</v>
      </c>
    </row>
    <row r="24">
      <c r="A24" s="19" t="inlineStr">
        <is>
          <t>수원영업2팀</t>
        </is>
      </c>
      <c r="B24" s="15" t="n">
        <v>8</v>
      </c>
      <c r="C24" s="15" t="n">
        <v>1</v>
      </c>
      <c r="D24" s="15" t="n">
        <v>9</v>
      </c>
    </row>
    <row r="25">
      <c r="A25" s="19" t="inlineStr">
        <is>
          <t>수원영업3팀</t>
        </is>
      </c>
      <c r="B25" s="15" t="n">
        <v>6</v>
      </c>
      <c r="C25" s="15" t="n">
        <v>4</v>
      </c>
      <c r="D25" s="15" t="n">
        <v>10</v>
      </c>
    </row>
    <row r="26">
      <c r="A26" s="19" t="inlineStr">
        <is>
          <t>수원영업4팀</t>
        </is>
      </c>
      <c r="B26" s="15" t="n">
        <v>5</v>
      </c>
      <c r="C26" s="15" t="n">
        <v>0</v>
      </c>
      <c r="D26" s="15" t="n">
        <v>5</v>
      </c>
    </row>
    <row r="27">
      <c r="A27" s="19" t="inlineStr">
        <is>
          <t>수원영업5팀</t>
        </is>
      </c>
      <c r="B27" s="15" t="n">
        <v>2</v>
      </c>
      <c r="C27" s="15" t="n">
        <v>0</v>
      </c>
      <c r="D27" s="15" t="n">
        <v>2</v>
      </c>
    </row>
    <row r="28">
      <c r="A28" s="19" t="inlineStr">
        <is>
          <t>수원영업6팀</t>
        </is>
      </c>
      <c r="B28" s="15" t="n">
        <v>5</v>
      </c>
      <c r="C28" s="15" t="n">
        <v>1</v>
      </c>
      <c r="D28" s="15" t="n">
        <v>6</v>
      </c>
    </row>
    <row r="29">
      <c r="A29" s="19" t="inlineStr">
        <is>
          <t>수원영업7팀</t>
        </is>
      </c>
      <c r="B29" s="15" t="n">
        <v>10</v>
      </c>
      <c r="C29" s="15" t="n">
        <v>2</v>
      </c>
      <c r="D29" s="15" t="n">
        <v>12</v>
      </c>
    </row>
    <row r="30">
      <c r="A30" s="19" t="inlineStr">
        <is>
          <t>수원영업8팀</t>
        </is>
      </c>
      <c r="B30" s="15" t="n">
        <v>10</v>
      </c>
      <c r="C30" s="15" t="n">
        <v>2</v>
      </c>
      <c r="D30" s="15" t="n">
        <v>12</v>
      </c>
    </row>
    <row r="31">
      <c r="A31" s="19" t="inlineStr">
        <is>
          <t>수원영업9팀</t>
        </is>
      </c>
      <c r="B31" s="15" t="n">
        <v>8</v>
      </c>
      <c r="C31" s="15" t="n">
        <v>1</v>
      </c>
      <c r="D31" s="15" t="n">
        <v>9</v>
      </c>
    </row>
    <row r="33" ht="22" customHeight="1">
      <c r="A33" s="11" t="inlineStr">
        <is>
          <t>다. 프라페 도입 및 운영</t>
        </is>
      </c>
      <c r="B33" s="10" t="n"/>
      <c r="C33" s="10" t="n"/>
      <c r="D33" s="10" t="n"/>
      <c r="E33" s="10" t="n"/>
      <c r="F33" s="10" t="n"/>
      <c r="G33" s="10" t="n"/>
    </row>
    <row r="34" ht="16" customHeight="1">
      <c r="A34" s="6" t="inlineStr">
        <is>
          <t xml:space="preserve">  - 7월 수원지역부 2종 운영률 58%, 권역 내 1등</t>
        </is>
      </c>
    </row>
    <row r="35" ht="16" customHeight="1">
      <c r="A35" s="6" t="inlineStr">
        <is>
          <t xml:space="preserve">  - 5,6월 로드사이드(81점) 판매 1,028개, 산업지대(30점) 408개 등 외곽지 높은 판매량</t>
        </is>
      </c>
    </row>
    <row r="36" ht="16" customHeight="1">
      <c r="A36" s="6" t="inlineStr">
        <is>
          <t xml:space="preserve">  2) 외곽지 집중 전개 (수원8, 9팀) (단위: 개 / %)</t>
        </is>
      </c>
    </row>
    <row r="38">
      <c r="A38" s="13" t="inlineStr">
        <is>
          <t>영업팀</t>
        </is>
      </c>
      <c r="B38" s="13" t="inlineStr">
        <is>
          <t>25.06 수량</t>
        </is>
      </c>
      <c r="C38" s="13" t="inlineStr">
        <is>
          <t>26.06 수량</t>
        </is>
      </c>
      <c r="D38" s="13" t="inlineStr">
        <is>
          <t>25.07 수량</t>
        </is>
      </c>
      <c r="E38" s="13" t="inlineStr">
        <is>
          <t>~7.12 수량</t>
        </is>
      </c>
      <c r="F38" s="13" t="inlineStr">
        <is>
          <t>6월 전년비</t>
        </is>
      </c>
      <c r="G38" s="13" t="inlineStr">
        <is>
          <t>7월 전년비</t>
        </is>
      </c>
    </row>
    <row r="39">
      <c r="A39" s="20" t="inlineStr">
        <is>
          <t>수원영업8팀</t>
        </is>
      </c>
      <c r="B39" s="21" t="n">
        <v>257</v>
      </c>
      <c r="C39" s="21" t="n">
        <v>740</v>
      </c>
      <c r="D39" s="21" t="n">
        <v>169</v>
      </c>
      <c r="E39" s="21" t="n">
        <v>189</v>
      </c>
      <c r="F39" s="15" t="inlineStr">
        <is>
          <t>288%</t>
        </is>
      </c>
      <c r="G39" s="15" t="inlineStr">
        <is>
          <t>112%</t>
        </is>
      </c>
    </row>
    <row r="40">
      <c r="A40" s="20" t="inlineStr">
        <is>
          <t>수원영업9팀</t>
        </is>
      </c>
      <c r="B40" s="21" t="n">
        <v>382</v>
      </c>
      <c r="C40" s="21" t="n">
        <v>547</v>
      </c>
      <c r="D40" s="21" t="n">
        <v>257</v>
      </c>
      <c r="E40" s="21" t="n">
        <v>204</v>
      </c>
      <c r="F40" s="15" t="inlineStr">
        <is>
          <t>143%</t>
        </is>
      </c>
      <c r="G40" s="15" t="inlineStr">
        <is>
          <t>79%</t>
        </is>
      </c>
    </row>
    <row r="42" ht="16" customHeight="1">
      <c r="A42" s="6" t="inlineStr">
        <is>
          <t xml:space="preserve">  - 프라페 모형 POP, 냉동R/I 진열, 라심발리 측면 POP로 홍보물 노출 극대화</t>
        </is>
      </c>
    </row>
    <row r="43" ht="16" customHeight="1">
      <c r="A43" s="6" t="inlineStr">
        <is>
          <t xml:space="preserve">  - 로드사이드 점두 단글자 홍보물 전개, 차량 이용 고객 시인성 확보로 구매 유입 성공</t>
        </is>
      </c>
    </row>
    <row r="44" ht="16" customHeight="1">
      <c r="A44" s="6" t="inlineStr">
        <is>
          <t xml:space="preserve">  - 외곽지 점포 우선 전개, 특수입지(구내공장·산업지대) 추가 전개</t>
        </is>
      </c>
    </row>
  </sheetData>
  <mergeCells count="17">
    <mergeCell ref="A36:G36"/>
    <mergeCell ref="A44:G44"/>
    <mergeCell ref="A1:G1"/>
    <mergeCell ref="A17:G17"/>
    <mergeCell ref="A18:G18"/>
    <mergeCell ref="A8:G8"/>
    <mergeCell ref="A3:G3"/>
    <mergeCell ref="A34:G34"/>
    <mergeCell ref="A35:G35"/>
    <mergeCell ref="A4:G4"/>
    <mergeCell ref="A20:G20"/>
    <mergeCell ref="A16:G16"/>
    <mergeCell ref="A7:G7"/>
    <mergeCell ref="A42:G42"/>
    <mergeCell ref="A43:G43"/>
    <mergeCell ref="A33:G33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9" t="inlineStr">
        <is>
          <t>5. 즉석조리 가동률·매출 극대화</t>
        </is>
      </c>
      <c r="B1" s="10" t="n"/>
      <c r="C1" s="10" t="n"/>
      <c r="D1" s="10" t="n"/>
      <c r="E1" s="10" t="n"/>
      <c r="F1" s="10" t="n"/>
      <c r="G1" s="10" t="n"/>
    </row>
    <row r="3" ht="22" customHeight="1">
      <c r="A3" s="11" t="inlineStr">
        <is>
          <t>1) 즉석조리 가동률 추이 (후라이드)</t>
        </is>
      </c>
      <c r="B3" s="10" t="n"/>
      <c r="C3" s="10" t="n"/>
      <c r="D3" s="10" t="n"/>
      <c r="E3" s="10" t="n"/>
      <c r="F3" s="10" t="n"/>
      <c r="G3" s="10" t="n"/>
    </row>
    <row r="4">
      <c r="A4" s="12" t="inlineStr">
        <is>
          <t>(단위 : %)</t>
        </is>
      </c>
    </row>
    <row r="5">
      <c r="A5" s="13" t="inlineStr">
        <is>
          <t>지역부</t>
        </is>
      </c>
      <c r="B5" s="13" t="inlineStr">
        <is>
          <t>25년 1월</t>
        </is>
      </c>
      <c r="C5" s="13" t="inlineStr">
        <is>
          <t>25년 2월</t>
        </is>
      </c>
      <c r="D5" s="13" t="inlineStr">
        <is>
          <t>25년 3월</t>
        </is>
      </c>
      <c r="E5" s="13" t="inlineStr">
        <is>
          <t>25년 4월</t>
        </is>
      </c>
      <c r="F5" s="13" t="inlineStr">
        <is>
          <t>25년 5월</t>
        </is>
      </c>
      <c r="G5" s="13" t="inlineStr">
        <is>
          <t>25년 6월</t>
        </is>
      </c>
    </row>
    <row r="6">
      <c r="A6" s="14" t="inlineStr">
        <is>
          <t>25년 실적</t>
        </is>
      </c>
      <c r="B6" s="15" t="inlineStr">
        <is>
          <t>58.5%</t>
        </is>
      </c>
      <c r="C6" s="15" t="inlineStr">
        <is>
          <t>60.0%</t>
        </is>
      </c>
      <c r="D6" s="15" t="inlineStr">
        <is>
          <t>66.0%</t>
        </is>
      </c>
      <c r="E6" s="15" t="inlineStr">
        <is>
          <t>69.4%</t>
        </is>
      </c>
      <c r="F6" s="15" t="inlineStr">
        <is>
          <t>67.5%</t>
        </is>
      </c>
      <c r="G6" s="15" t="inlineStr">
        <is>
          <t>64.7%</t>
        </is>
      </c>
    </row>
    <row r="7">
      <c r="A7" s="13" t="inlineStr">
        <is>
          <t>수원지역부</t>
        </is>
      </c>
      <c r="B7" s="13" t="inlineStr">
        <is>
          <t>26년 1월</t>
        </is>
      </c>
      <c r="C7" s="13" t="inlineStr">
        <is>
          <t>26년 2월</t>
        </is>
      </c>
      <c r="D7" s="13" t="inlineStr">
        <is>
          <t>26년 3월</t>
        </is>
      </c>
      <c r="E7" s="13" t="inlineStr">
        <is>
          <t>26년 4월</t>
        </is>
      </c>
      <c r="F7" s="13" t="inlineStr">
        <is>
          <t>26년 5월</t>
        </is>
      </c>
      <c r="G7" s="13" t="inlineStr">
        <is>
          <t>26년 6월</t>
        </is>
      </c>
    </row>
    <row r="8">
      <c r="A8" s="14" t="inlineStr">
        <is>
          <t>26년 실적</t>
        </is>
      </c>
      <c r="B8" s="15" t="inlineStr">
        <is>
          <t>62.1%</t>
        </is>
      </c>
      <c r="C8" s="15" t="inlineStr">
        <is>
          <t>59.1%</t>
        </is>
      </c>
      <c r="D8" s="15" t="inlineStr">
        <is>
          <t>65.7%</t>
        </is>
      </c>
      <c r="E8" s="15" t="inlineStr">
        <is>
          <t>68.9%</t>
        </is>
      </c>
      <c r="F8" s="15" t="inlineStr">
        <is>
          <t>62.0%</t>
        </is>
      </c>
      <c r="G8" s="15" t="inlineStr">
        <is>
          <t>65.0%</t>
        </is>
      </c>
    </row>
    <row r="9">
      <c r="A9" s="16" t="inlineStr">
        <is>
          <t>전년비</t>
        </is>
      </c>
      <c r="B9" s="15" t="inlineStr">
        <is>
          <t>106.1%</t>
        </is>
      </c>
      <c r="C9" s="15" t="inlineStr">
        <is>
          <t>98.5%</t>
        </is>
      </c>
      <c r="D9" s="15" t="inlineStr">
        <is>
          <t>99.6%</t>
        </is>
      </c>
      <c r="E9" s="15" t="inlineStr">
        <is>
          <t>99.3%(물류파업)</t>
        </is>
      </c>
      <c r="F9" s="15" t="inlineStr">
        <is>
          <t>91.9%</t>
        </is>
      </c>
      <c r="G9" s="15" t="inlineStr">
        <is>
          <t>100.4%</t>
        </is>
      </c>
    </row>
    <row r="10">
      <c r="A10" s="17" t="inlineStr">
        <is>
          <t>전사 순위</t>
        </is>
      </c>
      <c r="B10" s="15" t="inlineStr">
        <is>
          <t>22위</t>
        </is>
      </c>
      <c r="C10" s="15" t="inlineStr">
        <is>
          <t>22위</t>
        </is>
      </c>
      <c r="D10" s="15" t="inlineStr">
        <is>
          <t>22위</t>
        </is>
      </c>
      <c r="E10" s="15" t="inlineStr">
        <is>
          <t>19위</t>
        </is>
      </c>
      <c r="F10" s="15" t="inlineStr">
        <is>
          <t>22위</t>
        </is>
      </c>
      <c r="G10" s="15" t="inlineStr">
        <is>
          <t>22위</t>
        </is>
      </c>
    </row>
    <row r="12" ht="22" customHeight="1">
      <c r="A12" s="11" t="inlineStr">
        <is>
          <t>2) 즉석조리 가동률 추이 (고구마)</t>
        </is>
      </c>
      <c r="B12" s="10" t="n"/>
      <c r="C12" s="10" t="n"/>
      <c r="D12" s="10" t="n"/>
      <c r="E12" s="10" t="n"/>
      <c r="F12" s="10" t="n"/>
      <c r="G12" s="10" t="n"/>
    </row>
    <row r="13">
      <c r="A13" s="12" t="inlineStr">
        <is>
          <t>(단위 : %)</t>
        </is>
      </c>
    </row>
    <row r="14">
      <c r="A14" s="13" t="inlineStr">
        <is>
          <t>지역부</t>
        </is>
      </c>
      <c r="B14" s="13" t="inlineStr">
        <is>
          <t>25년 1월</t>
        </is>
      </c>
      <c r="C14" s="13" t="inlineStr">
        <is>
          <t>25년 2월</t>
        </is>
      </c>
      <c r="D14" s="13" t="inlineStr">
        <is>
          <t>25년 3월</t>
        </is>
      </c>
      <c r="E14" s="13" t="inlineStr">
        <is>
          <t>25년 4월</t>
        </is>
      </c>
      <c r="F14" s="13" t="inlineStr">
        <is>
          <t>25년 5월</t>
        </is>
      </c>
      <c r="G14" s="13" t="inlineStr">
        <is>
          <t>25년 6월</t>
        </is>
      </c>
    </row>
    <row r="15">
      <c r="A15" s="14" t="inlineStr">
        <is>
          <t>25년 실적</t>
        </is>
      </c>
      <c r="B15" s="15" t="inlineStr">
        <is>
          <t>70.6%</t>
        </is>
      </c>
      <c r="C15" s="15" t="inlineStr">
        <is>
          <t>66.7%</t>
        </is>
      </c>
      <c r="D15" s="15" t="inlineStr">
        <is>
          <t>56.1%</t>
        </is>
      </c>
      <c r="E15" s="15" t="inlineStr">
        <is>
          <t>40.4%</t>
        </is>
      </c>
      <c r="F15" s="15" t="inlineStr">
        <is>
          <t>38.7%</t>
        </is>
      </c>
      <c r="G15" s="15" t="inlineStr">
        <is>
          <t>28.6%</t>
        </is>
      </c>
    </row>
    <row r="16">
      <c r="A16" s="13" t="inlineStr">
        <is>
          <t>수원지역부</t>
        </is>
      </c>
      <c r="B16" s="13" t="inlineStr">
        <is>
          <t>26년 1월</t>
        </is>
      </c>
      <c r="C16" s="13" t="inlineStr">
        <is>
          <t>26년 2월</t>
        </is>
      </c>
      <c r="D16" s="13" t="inlineStr">
        <is>
          <t>26년 3월</t>
        </is>
      </c>
      <c r="E16" s="13" t="inlineStr">
        <is>
          <t>26년 4월</t>
        </is>
      </c>
      <c r="F16" s="13" t="inlineStr">
        <is>
          <t>26년 5월</t>
        </is>
      </c>
      <c r="G16" s="13" t="inlineStr">
        <is>
          <t>26년 6월</t>
        </is>
      </c>
    </row>
    <row r="17">
      <c r="A17" s="14" t="inlineStr">
        <is>
          <t>26년 실적</t>
        </is>
      </c>
      <c r="B17" s="15" t="inlineStr">
        <is>
          <t>78.7%</t>
        </is>
      </c>
      <c r="C17" s="15" t="inlineStr">
        <is>
          <t>71.5%</t>
        </is>
      </c>
      <c r="D17" s="15" t="inlineStr">
        <is>
          <t>60.2%</t>
        </is>
      </c>
      <c r="E17" s="15" t="inlineStr">
        <is>
          <t>52.3%</t>
        </is>
      </c>
      <c r="F17" s="15" t="inlineStr">
        <is>
          <t>49.7%</t>
        </is>
      </c>
      <c r="G17" s="15" t="inlineStr">
        <is>
          <t>40.5%</t>
        </is>
      </c>
    </row>
    <row r="18">
      <c r="A18" s="16" t="inlineStr">
        <is>
          <t>전년비</t>
        </is>
      </c>
      <c r="B18" s="15" t="inlineStr">
        <is>
          <t>111.4%</t>
        </is>
      </c>
      <c r="C18" s="15" t="inlineStr">
        <is>
          <t>107.2%</t>
        </is>
      </c>
      <c r="D18" s="15" t="inlineStr">
        <is>
          <t>107.3%</t>
        </is>
      </c>
      <c r="E18" s="15" t="inlineStr">
        <is>
          <t>129.6%(물류파업)</t>
        </is>
      </c>
      <c r="F18" s="15" t="inlineStr">
        <is>
          <t>128.4%</t>
        </is>
      </c>
      <c r="G18" s="15" t="inlineStr">
        <is>
          <t>123.7%</t>
        </is>
      </c>
    </row>
    <row r="19">
      <c r="A19" s="17" t="inlineStr">
        <is>
          <t>전사 순위</t>
        </is>
      </c>
      <c r="B19" s="15" t="inlineStr">
        <is>
          <t>15위</t>
        </is>
      </c>
      <c r="C19" s="15" t="inlineStr">
        <is>
          <t>15위</t>
        </is>
      </c>
      <c r="D19" s="15" t="inlineStr">
        <is>
          <t>14위</t>
        </is>
      </c>
      <c r="E19" s="15" t="inlineStr">
        <is>
          <t>14위</t>
        </is>
      </c>
      <c r="F19" s="15" t="inlineStr">
        <is>
          <t>17위</t>
        </is>
      </c>
      <c r="G19" s="15" t="inlineStr">
        <is>
          <t>20위</t>
        </is>
      </c>
    </row>
    <row r="21" ht="22" customHeight="1">
      <c r="A21" s="11" t="inlineStr">
        <is>
          <t>가. 운영 현황 및 목표 (07.12) ― 가동률 20% 미만점 현황 (단위: 점)</t>
        </is>
      </c>
      <c r="B21" s="10" t="n"/>
      <c r="C21" s="10" t="n"/>
      <c r="D21" s="10" t="n"/>
      <c r="E21" s="10" t="n"/>
      <c r="F21" s="10" t="n"/>
      <c r="G21" s="10" t="n"/>
    </row>
    <row r="22" ht="16" customHeight="1">
      <c r="A22" s="6" t="inlineStr">
        <is>
          <t xml:space="preserve">  - 즉석 후라이드 가동률 : 당월 65.1% / 권역 68.9% / 전사 71.1%</t>
        </is>
      </c>
    </row>
    <row r="23" ht="16" customHeight="1">
      <c r="A23" s="6" t="inlineStr">
        <is>
          <t xml:space="preserve">  - 즉석 고구마 가동률 : 당월 44.3% / 권역 54.8% / 전사 54.3%</t>
        </is>
      </c>
    </row>
    <row r="25">
      <c r="A25" s="13" t="inlineStr">
        <is>
          <t>구분</t>
        </is>
      </c>
      <c r="B25" s="13" t="inlineStr">
        <is>
          <t>후라이드 20%미만</t>
        </is>
      </c>
      <c r="C25" s="13" t="inlineStr">
        <is>
          <t>고구마 20%미만</t>
        </is>
      </c>
    </row>
    <row r="26">
      <c r="A26" s="16" t="inlineStr">
        <is>
          <t>수원지역부</t>
        </is>
      </c>
      <c r="B26" s="16" t="n">
        <v>38</v>
      </c>
      <c r="C26" s="16" t="n">
        <v>93</v>
      </c>
    </row>
    <row r="27">
      <c r="A27" s="19" t="inlineStr">
        <is>
          <t>수원영업1팀</t>
        </is>
      </c>
      <c r="B27" s="15" t="n">
        <v>7</v>
      </c>
      <c r="C27" s="15" t="n">
        <v>15</v>
      </c>
    </row>
    <row r="28">
      <c r="A28" s="19" t="inlineStr">
        <is>
          <t>수원영업2팀</t>
        </is>
      </c>
      <c r="B28" s="15" t="n">
        <v>8</v>
      </c>
      <c r="C28" s="15" t="n">
        <v>21</v>
      </c>
    </row>
    <row r="29">
      <c r="A29" s="19" t="inlineStr">
        <is>
          <t>수원영업3팀</t>
        </is>
      </c>
      <c r="B29" s="15" t="n">
        <v>2</v>
      </c>
      <c r="C29" s="15" t="n">
        <v>4</v>
      </c>
    </row>
    <row r="30">
      <c r="A30" s="19" t="inlineStr">
        <is>
          <t>수원영업4팀</t>
        </is>
      </c>
      <c r="B30" s="15" t="n">
        <v>6</v>
      </c>
      <c r="C30" s="15" t="n">
        <v>13</v>
      </c>
    </row>
    <row r="31">
      <c r="A31" s="19" t="inlineStr">
        <is>
          <t>수원영업5팀</t>
        </is>
      </c>
      <c r="B31" s="15" t="n">
        <v>4</v>
      </c>
      <c r="C31" s="15" t="n">
        <v>15</v>
      </c>
    </row>
    <row r="32">
      <c r="A32" s="19" t="inlineStr">
        <is>
          <t>수원영업6팀</t>
        </is>
      </c>
      <c r="B32" s="15" t="n">
        <v>5</v>
      </c>
      <c r="C32" s="15" t="n">
        <v>7</v>
      </c>
    </row>
    <row r="33">
      <c r="A33" s="19" t="inlineStr">
        <is>
          <t>수원영업7팀</t>
        </is>
      </c>
      <c r="B33" s="15" t="n">
        <v>1</v>
      </c>
      <c r="C33" s="15" t="n">
        <v>8</v>
      </c>
    </row>
    <row r="34">
      <c r="A34" s="19" t="inlineStr">
        <is>
          <t>수원영업8팀</t>
        </is>
      </c>
      <c r="B34" s="15" t="n">
        <v>1</v>
      </c>
      <c r="C34" s="15" t="n">
        <v>2</v>
      </c>
    </row>
    <row r="35">
      <c r="A35" s="19" t="inlineStr">
        <is>
          <t>수원영업9팀</t>
        </is>
      </c>
      <c r="B35" s="15" t="n">
        <v>4</v>
      </c>
      <c r="C35" s="15" t="n">
        <v>8</v>
      </c>
    </row>
    <row r="37" ht="16" customHeight="1">
      <c r="A37" s="6" t="inlineStr">
        <is>
          <t>나. 가동률 저조 원인 분석</t>
        </is>
      </c>
    </row>
    <row r="38" ht="16" customHeight="1">
      <c r="A38" s="6" t="inlineStr">
        <is>
          <t xml:space="preserve">  - 미가동 권역 내 최저[고구마 63점, 후라이드 11점], 실질 가동률 차이 多</t>
        </is>
      </c>
    </row>
    <row r="39" ht="16" customHeight="1">
      <c r="A39" s="6" t="inlineStr">
        <is>
          <t xml:space="preserve">  - 현장지도시 매출 타각, 단기간 운영 등이 가동률 부진 주요 원인</t>
        </is>
      </c>
    </row>
    <row r="40" ht="16" customHeight="1">
      <c r="A40" s="6" t="inlineStr">
        <is>
          <t xml:space="preserve">  - 실질 가동률 극대화를 위한 20% 미만점 개선 추진</t>
        </is>
      </c>
    </row>
    <row r="41" ht="16" customHeight="1">
      <c r="A41" s="6" t="inlineStr"/>
    </row>
    <row r="42" ht="16" customHeight="1">
      <c r="A42" s="6" t="inlineStr">
        <is>
          <t>다. 주차별 팀별 미가동점 점검</t>
        </is>
      </c>
    </row>
    <row r="43" ht="16" customHeight="1">
      <c r="A43" s="6" t="inlineStr">
        <is>
          <t xml:space="preserve">  - 재가동 협의 불가시 마스터 삭제, 고구마 기기·튀김기 철수 진행</t>
        </is>
      </c>
    </row>
    <row r="44" ht="16" customHeight="1">
      <c r="A44" s="6" t="inlineStr">
        <is>
          <t xml:space="preserve">  - 철수 거부시 ① 점간이동 ② 마스터 삭제 ③ 집기 원복 차선책 검토</t>
        </is>
      </c>
    </row>
    <row r="45" ht="16" customHeight="1">
      <c r="A45" s="6" t="inlineStr"/>
    </row>
    <row r="46" ht="16" customHeight="1">
      <c r="A46" s="6" t="inlineStr">
        <is>
          <t>라. 가동·매출 극대화 방안 (9팀 사례 : 해동형 닭강정 비조리 상시 진열)</t>
        </is>
      </c>
    </row>
    <row r="47" ht="16" customHeight="1">
      <c r="A47" s="6" t="inlineStr">
        <is>
          <t xml:space="preserve">  - 기아복지관점 6월 111개 → 7월 12일 누계 72개</t>
        </is>
      </c>
    </row>
    <row r="48" ht="16" customHeight="1">
      <c r="A48" s="6" t="inlineStr">
        <is>
          <t xml:space="preserve">  - QC팀·국민신문고 확인 : 영양성분·원산지 표시 적합시 판매 가능</t>
        </is>
      </c>
    </row>
    <row r="49" ht="16" customHeight="1">
      <c r="A49" s="6" t="inlineStr">
        <is>
          <t xml:space="preserve">  - 7/20 9팀 사례발표 공유 → 각 팀별 운영 추진</t>
        </is>
      </c>
    </row>
  </sheetData>
  <mergeCells count="21">
    <mergeCell ref="A22:G22"/>
    <mergeCell ref="A4:G4"/>
    <mergeCell ref="A38:G38"/>
    <mergeCell ref="A43:G43"/>
    <mergeCell ref="A13:G13"/>
    <mergeCell ref="A44:G44"/>
    <mergeCell ref="A40:G40"/>
    <mergeCell ref="A39:G39"/>
    <mergeCell ref="A48:G48"/>
    <mergeCell ref="A49:G49"/>
    <mergeCell ref="A45:G45"/>
    <mergeCell ref="A1:G1"/>
    <mergeCell ref="A41:G41"/>
    <mergeCell ref="A46:G46"/>
    <mergeCell ref="A37:G37"/>
    <mergeCell ref="A3:G3"/>
    <mergeCell ref="A21:G21"/>
    <mergeCell ref="A12:G12"/>
    <mergeCell ref="A47:G47"/>
    <mergeCell ref="A42:G42"/>
    <mergeCell ref="A23:G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0" customWidth="1" min="7" max="7"/>
    <col width="46" customWidth="1" min="8" max="8"/>
  </cols>
  <sheetData>
    <row r="1" ht="26" customHeight="1">
      <c r="A1" s="22" t="inlineStr">
        <is>
          <t>★ 7월 팀별 전개 체크 (부장님 피드백 반영)</t>
        </is>
      </c>
    </row>
    <row r="2">
      <c r="A2" s="8" t="inlineStr">
        <is>
          <t>· 부장님 피드백 : 팀별 하반기 목표는 좋으나 '7월에 몇 개 했는지' 체크 + 항목별 7월 전개 내용 기입 필요
· 노란색 칸(7월 완료 / 7월 전개 내용)만 입력하면, 7월 누계·달성률은 자동 계산됩니다.  달성률 = 7월 완료 ÷ 하반기 목표</t>
        </is>
      </c>
    </row>
    <row r="3"/>
    <row r="5" ht="22" customHeight="1">
      <c r="A5" s="13" t="inlineStr">
        <is>
          <t>전략 / 항목</t>
        </is>
      </c>
      <c r="B5" s="13" t="inlineStr">
        <is>
          <t>팀</t>
        </is>
      </c>
      <c r="C5" s="13" t="inlineStr">
        <is>
          <t>상반기 완료</t>
        </is>
      </c>
      <c r="D5" s="13" t="inlineStr">
        <is>
          <t>하반기 목표</t>
        </is>
      </c>
      <c r="E5" s="13" t="inlineStr">
        <is>
          <t>7월 완료(입력)</t>
        </is>
      </c>
      <c r="F5" s="13" t="inlineStr">
        <is>
          <t>7월 누계</t>
        </is>
      </c>
      <c r="G5" s="13" t="inlineStr">
        <is>
          <t>달성률</t>
        </is>
      </c>
      <c r="H5" s="13" t="inlineStr">
        <is>
          <t>7월 전개 내용(입력)</t>
        </is>
      </c>
    </row>
    <row r="6">
      <c r="A6" s="23" t="inlineStr">
        <is>
          <t>① 연장진열대</t>
        </is>
      </c>
      <c r="B6" s="24" t="inlineStr">
        <is>
          <t>수원지역부(계)</t>
        </is>
      </c>
      <c r="C6" s="24" t="n">
        <v>79</v>
      </c>
      <c r="D6" s="24" t="n">
        <v>26</v>
      </c>
      <c r="E6" s="24">
        <f>SUM(E7:E15)</f>
        <v/>
      </c>
      <c r="F6" s="24">
        <f>SUM(F7:F15)</f>
        <v/>
      </c>
      <c r="G6" s="25">
        <f>IFERROR(E6/D6,"")</f>
        <v/>
      </c>
      <c r="H6" s="23" t="inlineStr"/>
    </row>
    <row r="7">
      <c r="A7" s="20" t="inlineStr"/>
      <c r="B7" s="19" t="inlineStr">
        <is>
          <t>수원영업1팀</t>
        </is>
      </c>
      <c r="C7" s="15" t="n">
        <v>14</v>
      </c>
      <c r="D7" s="15" t="n">
        <v>3</v>
      </c>
      <c r="E7" s="26" t="n"/>
      <c r="F7" s="21">
        <f>C7+E7</f>
        <v/>
      </c>
      <c r="G7" s="27">
        <f>IFERROR(E7/D7,"")</f>
        <v/>
      </c>
      <c r="H7" s="28" t="n"/>
    </row>
    <row r="8">
      <c r="A8" s="20" t="inlineStr"/>
      <c r="B8" s="19" t="inlineStr">
        <is>
          <t>수원영업2팀</t>
        </is>
      </c>
      <c r="C8" s="15" t="n">
        <v>9</v>
      </c>
      <c r="D8" s="15" t="n">
        <v>7</v>
      </c>
      <c r="E8" s="26" t="n"/>
      <c r="F8" s="21">
        <f>C8+E8</f>
        <v/>
      </c>
      <c r="G8" s="27">
        <f>IFERROR(E8/D8,"")</f>
        <v/>
      </c>
      <c r="H8" s="28" t="n"/>
    </row>
    <row r="9">
      <c r="A9" s="20" t="inlineStr"/>
      <c r="B9" s="19" t="inlineStr">
        <is>
          <t>수원영업3팀</t>
        </is>
      </c>
      <c r="C9" s="15" t="n">
        <v>4</v>
      </c>
      <c r="D9" s="15" t="n">
        <v>1</v>
      </c>
      <c r="E9" s="26" t="n"/>
      <c r="F9" s="21">
        <f>C9+E9</f>
        <v/>
      </c>
      <c r="G9" s="27">
        <f>IFERROR(E9/D9,"")</f>
        <v/>
      </c>
      <c r="H9" s="28" t="n"/>
    </row>
    <row r="10">
      <c r="A10" s="20" t="inlineStr"/>
      <c r="B10" s="19" t="inlineStr">
        <is>
          <t>수원영업4팀</t>
        </is>
      </c>
      <c r="C10" s="15" t="n">
        <v>6</v>
      </c>
      <c r="D10" s="15" t="n">
        <v>3</v>
      </c>
      <c r="E10" s="26" t="n"/>
      <c r="F10" s="21">
        <f>C10+E10</f>
        <v/>
      </c>
      <c r="G10" s="27">
        <f>IFERROR(E10/D10,"")</f>
        <v/>
      </c>
      <c r="H10" s="28" t="n"/>
    </row>
    <row r="11">
      <c r="A11" s="20" t="inlineStr"/>
      <c r="B11" s="19" t="inlineStr">
        <is>
          <t>수원영업5팀</t>
        </is>
      </c>
      <c r="C11" s="15" t="n">
        <v>6</v>
      </c>
      <c r="D11" s="15" t="n">
        <v>1</v>
      </c>
      <c r="E11" s="26" t="n"/>
      <c r="F11" s="21">
        <f>C11+E11</f>
        <v/>
      </c>
      <c r="G11" s="27">
        <f>IFERROR(E11/D11,"")</f>
        <v/>
      </c>
      <c r="H11" s="28" t="n"/>
    </row>
    <row r="12">
      <c r="A12" s="20" t="inlineStr"/>
      <c r="B12" s="19" t="inlineStr">
        <is>
          <t>수원영업6팀</t>
        </is>
      </c>
      <c r="C12" s="15" t="n">
        <v>9</v>
      </c>
      <c r="D12" s="15" t="n">
        <v>0</v>
      </c>
      <c r="E12" s="26" t="n"/>
      <c r="F12" s="21">
        <f>C12+E12</f>
        <v/>
      </c>
      <c r="G12" s="27">
        <f>IFERROR(E12/D12,"")</f>
        <v/>
      </c>
      <c r="H12" s="28" t="n"/>
    </row>
    <row r="13">
      <c r="A13" s="20" t="inlineStr"/>
      <c r="B13" s="19" t="inlineStr">
        <is>
          <t>수원영업7팀</t>
        </is>
      </c>
      <c r="C13" s="15" t="n">
        <v>11</v>
      </c>
      <c r="D13" s="15" t="n">
        <v>3</v>
      </c>
      <c r="E13" s="26" t="n"/>
      <c r="F13" s="21">
        <f>C13+E13</f>
        <v/>
      </c>
      <c r="G13" s="27">
        <f>IFERROR(E13/D13,"")</f>
        <v/>
      </c>
      <c r="H13" s="28" t="n"/>
    </row>
    <row r="14">
      <c r="A14" s="20" t="inlineStr"/>
      <c r="B14" s="19" t="inlineStr">
        <is>
          <t>수원영업8팀</t>
        </is>
      </c>
      <c r="C14" s="15" t="n">
        <v>11</v>
      </c>
      <c r="D14" s="15" t="n">
        <v>3</v>
      </c>
      <c r="E14" s="26" t="n"/>
      <c r="F14" s="21">
        <f>C14+E14</f>
        <v/>
      </c>
      <c r="G14" s="27">
        <f>IFERROR(E14/D14,"")</f>
        <v/>
      </c>
      <c r="H14" s="28" t="n"/>
    </row>
    <row r="15">
      <c r="A15" s="20" t="inlineStr"/>
      <c r="B15" s="19" t="inlineStr">
        <is>
          <t>수원영업9팀</t>
        </is>
      </c>
      <c r="C15" s="15" t="n">
        <v>9</v>
      </c>
      <c r="D15" s="15" t="n">
        <v>5</v>
      </c>
      <c r="E15" s="26" t="n"/>
      <c r="F15" s="21">
        <f>C15+E15</f>
        <v/>
      </c>
      <c r="G15" s="27">
        <f>IFERROR(E15/D15,"")</f>
        <v/>
      </c>
      <c r="H15" s="28" t="n"/>
    </row>
    <row r="17">
      <c r="A17" s="23" t="inlineStr">
        <is>
          <t>② 점두진열</t>
        </is>
      </c>
      <c r="B17" s="24" t="inlineStr">
        <is>
          <t>수원지역부(계)</t>
        </is>
      </c>
      <c r="C17" s="24" t="n">
        <v>108</v>
      </c>
      <c r="D17" s="24" t="n">
        <v>45</v>
      </c>
      <c r="E17" s="24">
        <f>SUM(E18:E26)</f>
        <v/>
      </c>
      <c r="F17" s="24">
        <f>SUM(F18:F26)</f>
        <v/>
      </c>
      <c r="G17" s="25">
        <f>IFERROR(E17/D17,"")</f>
        <v/>
      </c>
      <c r="H17" s="23" t="inlineStr"/>
    </row>
    <row r="18">
      <c r="A18" s="20" t="inlineStr"/>
      <c r="B18" s="19" t="inlineStr">
        <is>
          <t>수원영업1팀</t>
        </is>
      </c>
      <c r="C18" s="15" t="n">
        <v>12</v>
      </c>
      <c r="D18" s="15" t="n">
        <v>2</v>
      </c>
      <c r="E18" s="26" t="n"/>
      <c r="F18" s="21">
        <f>C18+E18</f>
        <v/>
      </c>
      <c r="G18" s="27">
        <f>IFERROR(E18/D18,"")</f>
        <v/>
      </c>
      <c r="H18" s="28" t="n"/>
    </row>
    <row r="19">
      <c r="A19" s="20" t="inlineStr"/>
      <c r="B19" s="19" t="inlineStr">
        <is>
          <t>수원영업2팀</t>
        </is>
      </c>
      <c r="C19" s="15" t="n">
        <v>20</v>
      </c>
      <c r="D19" s="15" t="n">
        <v>3</v>
      </c>
      <c r="E19" s="26" t="n"/>
      <c r="F19" s="21">
        <f>C19+E19</f>
        <v/>
      </c>
      <c r="G19" s="27">
        <f>IFERROR(E19/D19,"")</f>
        <v/>
      </c>
      <c r="H19" s="28" t="n"/>
    </row>
    <row r="20">
      <c r="A20" s="20" t="inlineStr"/>
      <c r="B20" s="19" t="inlineStr">
        <is>
          <t>수원영업3팀</t>
        </is>
      </c>
      <c r="C20" s="15" t="n">
        <v>6</v>
      </c>
      <c r="D20" s="15" t="n">
        <v>2</v>
      </c>
      <c r="E20" s="26" t="n"/>
      <c r="F20" s="21">
        <f>C20+E20</f>
        <v/>
      </c>
      <c r="G20" s="27">
        <f>IFERROR(E20/D20,"")</f>
        <v/>
      </c>
      <c r="H20" s="28" t="n"/>
    </row>
    <row r="21">
      <c r="A21" s="20" t="inlineStr"/>
      <c r="B21" s="19" t="inlineStr">
        <is>
          <t>수원영업4팀</t>
        </is>
      </c>
      <c r="C21" s="15" t="n">
        <v>13</v>
      </c>
      <c r="D21" s="15" t="n">
        <v>8</v>
      </c>
      <c r="E21" s="26" t="n"/>
      <c r="F21" s="21">
        <f>C21+E21</f>
        <v/>
      </c>
      <c r="G21" s="27">
        <f>IFERROR(E21/D21,"")</f>
        <v/>
      </c>
      <c r="H21" s="28" t="n"/>
    </row>
    <row r="22">
      <c r="A22" s="20" t="inlineStr"/>
      <c r="B22" s="19" t="inlineStr">
        <is>
          <t>수원영업5팀</t>
        </is>
      </c>
      <c r="C22" s="15" t="n">
        <v>14</v>
      </c>
      <c r="D22" s="15" t="n">
        <v>12</v>
      </c>
      <c r="E22" s="26" t="n"/>
      <c r="F22" s="21">
        <f>C22+E22</f>
        <v/>
      </c>
      <c r="G22" s="27">
        <f>IFERROR(E22/D22,"")</f>
        <v/>
      </c>
      <c r="H22" s="28" t="n"/>
    </row>
    <row r="23">
      <c r="A23" s="20" t="inlineStr"/>
      <c r="B23" s="19" t="inlineStr">
        <is>
          <t>수원영업6팀</t>
        </is>
      </c>
      <c r="C23" s="15" t="n">
        <v>9</v>
      </c>
      <c r="D23" s="15" t="n">
        <v>11</v>
      </c>
      <c r="E23" s="26" t="n"/>
      <c r="F23" s="21">
        <f>C23+E23</f>
        <v/>
      </c>
      <c r="G23" s="27">
        <f>IFERROR(E23/D23,"")</f>
        <v/>
      </c>
      <c r="H23" s="28" t="n"/>
    </row>
    <row r="24">
      <c r="A24" s="20" t="inlineStr"/>
      <c r="B24" s="19" t="inlineStr">
        <is>
          <t>수원영업7팀</t>
        </is>
      </c>
      <c r="C24" s="15" t="n">
        <v>16</v>
      </c>
      <c r="D24" s="15" t="n">
        <v>2</v>
      </c>
      <c r="E24" s="26" t="n"/>
      <c r="F24" s="21">
        <f>C24+E24</f>
        <v/>
      </c>
      <c r="G24" s="27">
        <f>IFERROR(E24/D24,"")</f>
        <v/>
      </c>
      <c r="H24" s="28" t="n"/>
    </row>
    <row r="25">
      <c r="A25" s="20" t="inlineStr"/>
      <c r="B25" s="19" t="inlineStr">
        <is>
          <t>수원영업8팀</t>
        </is>
      </c>
      <c r="C25" s="15" t="n">
        <v>6</v>
      </c>
      <c r="D25" s="15" t="n">
        <v>4</v>
      </c>
      <c r="E25" s="26" t="n"/>
      <c r="F25" s="21">
        <f>C25+E25</f>
        <v/>
      </c>
      <c r="G25" s="27">
        <f>IFERROR(E25/D25,"")</f>
        <v/>
      </c>
      <c r="H25" s="28" t="n"/>
    </row>
    <row r="26">
      <c r="A26" s="20" t="inlineStr"/>
      <c r="B26" s="19" t="inlineStr">
        <is>
          <t>수원영업9팀</t>
        </is>
      </c>
      <c r="C26" s="15" t="n">
        <v>12</v>
      </c>
      <c r="D26" s="15" t="n">
        <v>1</v>
      </c>
      <c r="E26" s="26" t="n"/>
      <c r="F26" s="21">
        <f>C26+E26</f>
        <v/>
      </c>
      <c r="G26" s="27">
        <f>IFERROR(E26/D26,"")</f>
        <v/>
      </c>
      <c r="H26" s="28" t="n"/>
    </row>
    <row r="28">
      <c r="A28" s="23" t="inlineStr">
        <is>
          <t>③ 주먹밥+음료(진행점)</t>
        </is>
      </c>
      <c r="B28" s="24" t="inlineStr">
        <is>
          <t>수원지역부(계)</t>
        </is>
      </c>
      <c r="C28" s="24" t="inlineStr">
        <is>
          <t>-</t>
        </is>
      </c>
      <c r="D28" s="24" t="n">
        <v>87</v>
      </c>
      <c r="E28" s="24">
        <f>SUM(E29:E37)</f>
        <v/>
      </c>
      <c r="F28" s="24">
        <f>SUM(F29:F37)</f>
        <v/>
      </c>
      <c r="G28" s="25">
        <f>IFERROR(E28/D28,"")</f>
        <v/>
      </c>
      <c r="H28" s="23" t="inlineStr"/>
    </row>
    <row r="29">
      <c r="A29" s="20" t="inlineStr"/>
      <c r="B29" s="19" t="inlineStr">
        <is>
          <t>수원영업1팀</t>
        </is>
      </c>
      <c r="C29" s="15" t="inlineStr">
        <is>
          <t>-</t>
        </is>
      </c>
      <c r="D29" s="15" t="n">
        <v>14</v>
      </c>
      <c r="E29" s="26" t="n"/>
      <c r="F29" s="21">
        <f>E29</f>
        <v/>
      </c>
      <c r="G29" s="27">
        <f>IFERROR(E29/D29,"")</f>
        <v/>
      </c>
      <c r="H29" s="28" t="n"/>
    </row>
    <row r="30">
      <c r="A30" s="20" t="inlineStr"/>
      <c r="B30" s="19" t="inlineStr">
        <is>
          <t>수원영업2팀</t>
        </is>
      </c>
      <c r="C30" s="15" t="inlineStr">
        <is>
          <t>-</t>
        </is>
      </c>
      <c r="D30" s="15" t="n">
        <v>13</v>
      </c>
      <c r="E30" s="26" t="n"/>
      <c r="F30" s="21">
        <f>E30</f>
        <v/>
      </c>
      <c r="G30" s="27">
        <f>IFERROR(E30/D30,"")</f>
        <v/>
      </c>
      <c r="H30" s="28" t="n"/>
    </row>
    <row r="31">
      <c r="A31" s="20" t="inlineStr"/>
      <c r="B31" s="19" t="inlineStr">
        <is>
          <t>수원영업3팀</t>
        </is>
      </c>
      <c r="C31" s="15" t="inlineStr">
        <is>
          <t>-</t>
        </is>
      </c>
      <c r="D31" s="15" t="n">
        <v>9</v>
      </c>
      <c r="E31" s="26" t="n"/>
      <c r="F31" s="21">
        <f>E31</f>
        <v/>
      </c>
      <c r="G31" s="27">
        <f>IFERROR(E31/D31,"")</f>
        <v/>
      </c>
      <c r="H31" s="28" t="n"/>
    </row>
    <row r="32">
      <c r="A32" s="20" t="inlineStr"/>
      <c r="B32" s="19" t="inlineStr">
        <is>
          <t>수원영업4팀</t>
        </is>
      </c>
      <c r="C32" s="15" t="inlineStr">
        <is>
          <t>-</t>
        </is>
      </c>
      <c r="D32" s="15" t="n">
        <v>10</v>
      </c>
      <c r="E32" s="26" t="n"/>
      <c r="F32" s="21">
        <f>E32</f>
        <v/>
      </c>
      <c r="G32" s="27">
        <f>IFERROR(E32/D32,"")</f>
        <v/>
      </c>
      <c r="H32" s="28" t="n"/>
    </row>
    <row r="33">
      <c r="A33" s="20" t="inlineStr"/>
      <c r="B33" s="19" t="inlineStr">
        <is>
          <t>수원영업5팀</t>
        </is>
      </c>
      <c r="C33" s="15" t="inlineStr">
        <is>
          <t>-</t>
        </is>
      </c>
      <c r="D33" s="15" t="n">
        <v>12</v>
      </c>
      <c r="E33" s="26" t="n"/>
      <c r="F33" s="21">
        <f>E33</f>
        <v/>
      </c>
      <c r="G33" s="27">
        <f>IFERROR(E33/D33,"")</f>
        <v/>
      </c>
      <c r="H33" s="28" t="n"/>
    </row>
    <row r="34">
      <c r="A34" s="20" t="inlineStr"/>
      <c r="B34" s="19" t="inlineStr">
        <is>
          <t>수원영업6팀</t>
        </is>
      </c>
      <c r="C34" s="15" t="inlineStr">
        <is>
          <t>-</t>
        </is>
      </c>
      <c r="D34" s="15" t="n">
        <v>13</v>
      </c>
      <c r="E34" s="26" t="n"/>
      <c r="F34" s="21">
        <f>E34</f>
        <v/>
      </c>
      <c r="G34" s="27">
        <f>IFERROR(E34/D34,"")</f>
        <v/>
      </c>
      <c r="H34" s="28" t="n"/>
    </row>
    <row r="35">
      <c r="A35" s="20" t="inlineStr"/>
      <c r="B35" s="19" t="inlineStr">
        <is>
          <t>수원영업7팀</t>
        </is>
      </c>
      <c r="C35" s="15" t="inlineStr">
        <is>
          <t>-</t>
        </is>
      </c>
      <c r="D35" s="15" t="n">
        <v>6</v>
      </c>
      <c r="E35" s="26" t="n"/>
      <c r="F35" s="21">
        <f>E35</f>
        <v/>
      </c>
      <c r="G35" s="27">
        <f>IFERROR(E35/D35,"")</f>
        <v/>
      </c>
      <c r="H35" s="28" t="n"/>
    </row>
    <row r="36">
      <c r="A36" s="20" t="inlineStr"/>
      <c r="B36" s="19" t="inlineStr">
        <is>
          <t>수원영업8팀</t>
        </is>
      </c>
      <c r="C36" s="15" t="inlineStr">
        <is>
          <t>-</t>
        </is>
      </c>
      <c r="D36" s="15" t="n">
        <v>1</v>
      </c>
      <c r="E36" s="26" t="n"/>
      <c r="F36" s="21">
        <f>E36</f>
        <v/>
      </c>
      <c r="G36" s="27">
        <f>IFERROR(E36/D36,"")</f>
        <v/>
      </c>
      <c r="H36" s="28" t="n"/>
    </row>
    <row r="37">
      <c r="A37" s="20" t="inlineStr"/>
      <c r="B37" s="19" t="inlineStr">
        <is>
          <t>수원영업9팀</t>
        </is>
      </c>
      <c r="C37" s="15" t="inlineStr">
        <is>
          <t>-</t>
        </is>
      </c>
      <c r="D37" s="15" t="n">
        <v>9</v>
      </c>
      <c r="E37" s="26" t="n"/>
      <c r="F37" s="21">
        <f>E37</f>
        <v/>
      </c>
      <c r="G37" s="27">
        <f>IFERROR(E37/D37,"")</f>
        <v/>
      </c>
      <c r="H37" s="28" t="n"/>
    </row>
    <row r="39">
      <c r="A39" s="23" t="inlineStr">
        <is>
          <t>④ 헬시플레저 샌드위치(진행점)</t>
        </is>
      </c>
      <c r="B39" s="24" t="inlineStr">
        <is>
          <t>수원지역부(계)</t>
        </is>
      </c>
      <c r="C39" s="24" t="inlineStr">
        <is>
          <t>-</t>
        </is>
      </c>
      <c r="D39" s="24" t="n">
        <v>97</v>
      </c>
      <c r="E39" s="24">
        <f>SUM(E40:E48)</f>
        <v/>
      </c>
      <c r="F39" s="24">
        <f>SUM(F40:F48)</f>
        <v/>
      </c>
      <c r="G39" s="25">
        <f>IFERROR(E39/D39,"")</f>
        <v/>
      </c>
      <c r="H39" s="23" t="inlineStr"/>
    </row>
    <row r="40">
      <c r="A40" s="20" t="inlineStr"/>
      <c r="B40" s="19" t="inlineStr">
        <is>
          <t>수원영업1팀</t>
        </is>
      </c>
      <c r="C40" s="15" t="inlineStr">
        <is>
          <t>-</t>
        </is>
      </c>
      <c r="D40" s="15" t="n">
        <v>14</v>
      </c>
      <c r="E40" s="26" t="n"/>
      <c r="F40" s="21">
        <f>E40</f>
        <v/>
      </c>
      <c r="G40" s="27">
        <f>IFERROR(E40/D40,"")</f>
        <v/>
      </c>
      <c r="H40" s="28" t="n"/>
    </row>
    <row r="41">
      <c r="A41" s="20" t="inlineStr"/>
      <c r="B41" s="19" t="inlineStr">
        <is>
          <t>수원영업2팀</t>
        </is>
      </c>
      <c r="C41" s="15" t="inlineStr">
        <is>
          <t>-</t>
        </is>
      </c>
      <c r="D41" s="15" t="n">
        <v>18</v>
      </c>
      <c r="E41" s="26" t="n"/>
      <c r="F41" s="21">
        <f>E41</f>
        <v/>
      </c>
      <c r="G41" s="27">
        <f>IFERROR(E41/D41,"")</f>
        <v/>
      </c>
      <c r="H41" s="28" t="n"/>
    </row>
    <row r="42">
      <c r="A42" s="20" t="inlineStr"/>
      <c r="B42" s="19" t="inlineStr">
        <is>
          <t>수원영업3팀</t>
        </is>
      </c>
      <c r="C42" s="15" t="inlineStr">
        <is>
          <t>-</t>
        </is>
      </c>
      <c r="D42" s="15" t="n">
        <v>6</v>
      </c>
      <c r="E42" s="26" t="n"/>
      <c r="F42" s="21">
        <f>E42</f>
        <v/>
      </c>
      <c r="G42" s="27">
        <f>IFERROR(E42/D42,"")</f>
        <v/>
      </c>
      <c r="H42" s="28" t="n"/>
    </row>
    <row r="43">
      <c r="A43" s="20" t="inlineStr"/>
      <c r="B43" s="19" t="inlineStr">
        <is>
          <t>수원영업4팀</t>
        </is>
      </c>
      <c r="C43" s="15" t="inlineStr">
        <is>
          <t>-</t>
        </is>
      </c>
      <c r="D43" s="15" t="n">
        <v>10</v>
      </c>
      <c r="E43" s="26" t="n"/>
      <c r="F43" s="21">
        <f>E43</f>
        <v/>
      </c>
      <c r="G43" s="27">
        <f>IFERROR(E43/D43,"")</f>
        <v/>
      </c>
      <c r="H43" s="28" t="n"/>
    </row>
    <row r="44">
      <c r="A44" s="20" t="inlineStr"/>
      <c r="B44" s="19" t="inlineStr">
        <is>
          <t>수원영업5팀</t>
        </is>
      </c>
      <c r="C44" s="15" t="inlineStr">
        <is>
          <t>-</t>
        </is>
      </c>
      <c r="D44" s="15" t="n">
        <v>12</v>
      </c>
      <c r="E44" s="26" t="n"/>
      <c r="F44" s="21">
        <f>E44</f>
        <v/>
      </c>
      <c r="G44" s="27">
        <f>IFERROR(E44/D44,"")</f>
        <v/>
      </c>
      <c r="H44" s="28" t="n"/>
    </row>
    <row r="45">
      <c r="A45" s="20" t="inlineStr"/>
      <c r="B45" s="19" t="inlineStr">
        <is>
          <t>수원영업6팀</t>
        </is>
      </c>
      <c r="C45" s="15" t="inlineStr">
        <is>
          <t>-</t>
        </is>
      </c>
      <c r="D45" s="15" t="n">
        <v>10</v>
      </c>
      <c r="E45" s="26" t="n"/>
      <c r="F45" s="21">
        <f>E45</f>
        <v/>
      </c>
      <c r="G45" s="27">
        <f>IFERROR(E45/D45,"")</f>
        <v/>
      </c>
      <c r="H45" s="28" t="n"/>
    </row>
    <row r="46">
      <c r="A46" s="20" t="inlineStr"/>
      <c r="B46" s="19" t="inlineStr">
        <is>
          <t>수원영업7팀</t>
        </is>
      </c>
      <c r="C46" s="15" t="inlineStr">
        <is>
          <t>-</t>
        </is>
      </c>
      <c r="D46" s="15" t="n">
        <v>6</v>
      </c>
      <c r="E46" s="26" t="n"/>
      <c r="F46" s="21">
        <f>E46</f>
        <v/>
      </c>
      <c r="G46" s="27">
        <f>IFERROR(E46/D46,"")</f>
        <v/>
      </c>
      <c r="H46" s="28" t="n"/>
    </row>
    <row r="47">
      <c r="A47" s="20" t="inlineStr"/>
      <c r="B47" s="19" t="inlineStr">
        <is>
          <t>수원영업8팀</t>
        </is>
      </c>
      <c r="C47" s="15" t="inlineStr">
        <is>
          <t>-</t>
        </is>
      </c>
      <c r="D47" s="15" t="n">
        <v>9</v>
      </c>
      <c r="E47" s="26" t="n"/>
      <c r="F47" s="21">
        <f>E47</f>
        <v/>
      </c>
      <c r="G47" s="27">
        <f>IFERROR(E47/D47,"")</f>
        <v/>
      </c>
      <c r="H47" s="28" t="n"/>
    </row>
    <row r="48">
      <c r="A48" s="20" t="inlineStr"/>
      <c r="B48" s="19" t="inlineStr">
        <is>
          <t>수원영업9팀</t>
        </is>
      </c>
      <c r="C48" s="15" t="inlineStr">
        <is>
          <t>-</t>
        </is>
      </c>
      <c r="D48" s="15" t="n">
        <v>12</v>
      </c>
      <c r="E48" s="26" t="n"/>
      <c r="F48" s="21">
        <f>E48</f>
        <v/>
      </c>
      <c r="G48" s="27">
        <f>IFERROR(E48/D48,"")</f>
        <v/>
      </c>
      <c r="H48" s="28" t="n"/>
    </row>
    <row r="50">
      <c r="A50" s="23" t="inlineStr">
        <is>
          <t>⑤ 간편식사 아크릴 진열대(진행점)</t>
        </is>
      </c>
      <c r="B50" s="24" t="inlineStr">
        <is>
          <t>수원지역부(계)</t>
        </is>
      </c>
      <c r="C50" s="24" t="inlineStr">
        <is>
          <t>-</t>
        </is>
      </c>
      <c r="D50" s="24" t="n">
        <v>147</v>
      </c>
      <c r="E50" s="24">
        <f>SUM(E51:E59)</f>
        <v/>
      </c>
      <c r="F50" s="24">
        <f>SUM(F51:F59)</f>
        <v/>
      </c>
      <c r="G50" s="25">
        <f>IFERROR(E50/D50,"")</f>
        <v/>
      </c>
      <c r="H50" s="23" t="inlineStr"/>
    </row>
    <row r="51">
      <c r="A51" s="20" t="inlineStr"/>
      <c r="B51" s="19" t="inlineStr">
        <is>
          <t>수원영업1팀</t>
        </is>
      </c>
      <c r="C51" s="15" t="inlineStr">
        <is>
          <t>-</t>
        </is>
      </c>
      <c r="D51" s="15" t="n">
        <v>18</v>
      </c>
      <c r="E51" s="26" t="n"/>
      <c r="F51" s="21">
        <f>E51</f>
        <v/>
      </c>
      <c r="G51" s="27">
        <f>IFERROR(E51/D51,"")</f>
        <v/>
      </c>
      <c r="H51" s="28" t="n"/>
    </row>
    <row r="52">
      <c r="A52" s="20" t="inlineStr"/>
      <c r="B52" s="19" t="inlineStr">
        <is>
          <t>수원영업2팀</t>
        </is>
      </c>
      <c r="C52" s="15" t="inlineStr">
        <is>
          <t>-</t>
        </is>
      </c>
      <c r="D52" s="15" t="n">
        <v>22</v>
      </c>
      <c r="E52" s="26" t="n"/>
      <c r="F52" s="21">
        <f>E52</f>
        <v/>
      </c>
      <c r="G52" s="27">
        <f>IFERROR(E52/D52,"")</f>
        <v/>
      </c>
      <c r="H52" s="28" t="n"/>
    </row>
    <row r="53">
      <c r="A53" s="20" t="inlineStr"/>
      <c r="B53" s="19" t="inlineStr">
        <is>
          <t>수원영업3팀</t>
        </is>
      </c>
      <c r="C53" s="15" t="inlineStr">
        <is>
          <t>-</t>
        </is>
      </c>
      <c r="D53" s="15" t="n">
        <v>25</v>
      </c>
      <c r="E53" s="26" t="n"/>
      <c r="F53" s="21">
        <f>E53</f>
        <v/>
      </c>
      <c r="G53" s="27">
        <f>IFERROR(E53/D53,"")</f>
        <v/>
      </c>
      <c r="H53" s="28" t="n"/>
    </row>
    <row r="54">
      <c r="A54" s="20" t="inlineStr"/>
      <c r="B54" s="19" t="inlineStr">
        <is>
          <t>수원영업4팀</t>
        </is>
      </c>
      <c r="C54" s="15" t="inlineStr">
        <is>
          <t>-</t>
        </is>
      </c>
      <c r="D54" s="15" t="n">
        <v>14</v>
      </c>
      <c r="E54" s="26" t="n"/>
      <c r="F54" s="21">
        <f>E54</f>
        <v/>
      </c>
      <c r="G54" s="27">
        <f>IFERROR(E54/D54,"")</f>
        <v/>
      </c>
      <c r="H54" s="28" t="n"/>
    </row>
    <row r="55">
      <c r="A55" s="20" t="inlineStr"/>
      <c r="B55" s="19" t="inlineStr">
        <is>
          <t>수원영업5팀</t>
        </is>
      </c>
      <c r="C55" s="15" t="inlineStr">
        <is>
          <t>-</t>
        </is>
      </c>
      <c r="D55" s="15" t="n">
        <v>13</v>
      </c>
      <c r="E55" s="26" t="n"/>
      <c r="F55" s="21">
        <f>E55</f>
        <v/>
      </c>
      <c r="G55" s="27">
        <f>IFERROR(E55/D55,"")</f>
        <v/>
      </c>
      <c r="H55" s="28" t="n"/>
    </row>
    <row r="56">
      <c r="A56" s="20" t="inlineStr"/>
      <c r="B56" s="19" t="inlineStr">
        <is>
          <t>수원영업6팀</t>
        </is>
      </c>
      <c r="C56" s="15" t="inlineStr">
        <is>
          <t>-</t>
        </is>
      </c>
      <c r="D56" s="15" t="n">
        <v>13</v>
      </c>
      <c r="E56" s="26" t="n"/>
      <c r="F56" s="21">
        <f>E56</f>
        <v/>
      </c>
      <c r="G56" s="27">
        <f>IFERROR(E56/D56,"")</f>
        <v/>
      </c>
      <c r="H56" s="28" t="n"/>
    </row>
    <row r="57">
      <c r="A57" s="20" t="inlineStr"/>
      <c r="B57" s="19" t="inlineStr">
        <is>
          <t>수원영업7팀</t>
        </is>
      </c>
      <c r="C57" s="15" t="inlineStr">
        <is>
          <t>-</t>
        </is>
      </c>
      <c r="D57" s="15" t="n">
        <v>13</v>
      </c>
      <c r="E57" s="26" t="n"/>
      <c r="F57" s="21">
        <f>E57</f>
        <v/>
      </c>
      <c r="G57" s="27">
        <f>IFERROR(E57/D57,"")</f>
        <v/>
      </c>
      <c r="H57" s="28" t="n"/>
    </row>
    <row r="58">
      <c r="A58" s="20" t="inlineStr"/>
      <c r="B58" s="19" t="inlineStr">
        <is>
          <t>수원영업8팀</t>
        </is>
      </c>
      <c r="C58" s="15" t="inlineStr">
        <is>
          <t>-</t>
        </is>
      </c>
      <c r="D58" s="15" t="n">
        <v>16</v>
      </c>
      <c r="E58" s="26" t="n"/>
      <c r="F58" s="21">
        <f>E58</f>
        <v/>
      </c>
      <c r="G58" s="27">
        <f>IFERROR(E58/D58,"")</f>
        <v/>
      </c>
      <c r="H58" s="28" t="n"/>
    </row>
    <row r="59">
      <c r="A59" s="20" t="inlineStr"/>
      <c r="B59" s="19" t="inlineStr">
        <is>
          <t>수원영업9팀</t>
        </is>
      </c>
      <c r="C59" s="15" t="inlineStr">
        <is>
          <t>-</t>
        </is>
      </c>
      <c r="D59" s="15" t="n">
        <v>13</v>
      </c>
      <c r="E59" s="26" t="n"/>
      <c r="F59" s="21">
        <f>E59</f>
        <v/>
      </c>
      <c r="G59" s="27">
        <f>IFERROR(E59/D59,"")</f>
        <v/>
      </c>
      <c r="H59" s="28" t="n"/>
    </row>
    <row r="61">
      <c r="A61" s="23" t="inlineStr">
        <is>
          <t>⑥ 라심발리 교체</t>
        </is>
      </c>
      <c r="B61" s="24" t="inlineStr">
        <is>
          <t>수원지역부(계)</t>
        </is>
      </c>
      <c r="C61" s="24" t="n">
        <v>59</v>
      </c>
      <c r="D61" s="24" t="n">
        <v>12</v>
      </c>
      <c r="E61" s="24">
        <f>SUM(E62:E70)</f>
        <v/>
      </c>
      <c r="F61" s="24">
        <f>SUM(F62:F70)</f>
        <v/>
      </c>
      <c r="G61" s="25">
        <f>IFERROR(E61/D61,"")</f>
        <v/>
      </c>
      <c r="H61" s="23" t="inlineStr"/>
    </row>
    <row r="62">
      <c r="A62" s="20" t="inlineStr"/>
      <c r="B62" s="19" t="inlineStr">
        <is>
          <t>수원영업1팀</t>
        </is>
      </c>
      <c r="C62" s="15" t="n">
        <v>5</v>
      </c>
      <c r="D62" s="15" t="n">
        <v>1</v>
      </c>
      <c r="E62" s="26" t="n"/>
      <c r="F62" s="21">
        <f>C62+E62</f>
        <v/>
      </c>
      <c r="G62" s="27">
        <f>IFERROR(E62/D62,"")</f>
        <v/>
      </c>
      <c r="H62" s="28" t="n"/>
    </row>
    <row r="63">
      <c r="A63" s="20" t="inlineStr"/>
      <c r="B63" s="19" t="inlineStr">
        <is>
          <t>수원영업2팀</t>
        </is>
      </c>
      <c r="C63" s="15" t="n">
        <v>8</v>
      </c>
      <c r="D63" s="15" t="n">
        <v>1</v>
      </c>
      <c r="E63" s="26" t="n"/>
      <c r="F63" s="21">
        <f>C63+E63</f>
        <v/>
      </c>
      <c r="G63" s="27">
        <f>IFERROR(E63/D63,"")</f>
        <v/>
      </c>
      <c r="H63" s="28" t="n"/>
    </row>
    <row r="64">
      <c r="A64" s="20" t="inlineStr"/>
      <c r="B64" s="19" t="inlineStr">
        <is>
          <t>수원영업3팀</t>
        </is>
      </c>
      <c r="C64" s="15" t="n">
        <v>6</v>
      </c>
      <c r="D64" s="15" t="n">
        <v>4</v>
      </c>
      <c r="E64" s="26" t="n"/>
      <c r="F64" s="21">
        <f>C64+E64</f>
        <v/>
      </c>
      <c r="G64" s="27">
        <f>IFERROR(E64/D64,"")</f>
        <v/>
      </c>
      <c r="H64" s="28" t="n"/>
    </row>
    <row r="65">
      <c r="A65" s="20" t="inlineStr"/>
      <c r="B65" s="19" t="inlineStr">
        <is>
          <t>수원영업4팀</t>
        </is>
      </c>
      <c r="C65" s="15" t="n">
        <v>5</v>
      </c>
      <c r="D65" s="15" t="n">
        <v>0</v>
      </c>
      <c r="E65" s="26" t="n"/>
      <c r="F65" s="21">
        <f>C65+E65</f>
        <v/>
      </c>
      <c r="G65" s="27">
        <f>IFERROR(E65/D65,"")</f>
        <v/>
      </c>
      <c r="H65" s="28" t="n"/>
    </row>
    <row r="66">
      <c r="A66" s="20" t="inlineStr"/>
      <c r="B66" s="19" t="inlineStr">
        <is>
          <t>수원영업5팀</t>
        </is>
      </c>
      <c r="C66" s="15" t="n">
        <v>2</v>
      </c>
      <c r="D66" s="15" t="n">
        <v>0</v>
      </c>
      <c r="E66" s="26" t="n"/>
      <c r="F66" s="21">
        <f>C66+E66</f>
        <v/>
      </c>
      <c r="G66" s="27">
        <f>IFERROR(E66/D66,"")</f>
        <v/>
      </c>
      <c r="H66" s="28" t="n"/>
    </row>
    <row r="67">
      <c r="A67" s="20" t="inlineStr"/>
      <c r="B67" s="19" t="inlineStr">
        <is>
          <t>수원영업6팀</t>
        </is>
      </c>
      <c r="C67" s="15" t="n">
        <v>5</v>
      </c>
      <c r="D67" s="15" t="n">
        <v>1</v>
      </c>
      <c r="E67" s="26" t="n"/>
      <c r="F67" s="21">
        <f>C67+E67</f>
        <v/>
      </c>
      <c r="G67" s="27">
        <f>IFERROR(E67/D67,"")</f>
        <v/>
      </c>
      <c r="H67" s="28" t="n"/>
    </row>
    <row r="68">
      <c r="A68" s="20" t="inlineStr"/>
      <c r="B68" s="19" t="inlineStr">
        <is>
          <t>수원영업7팀</t>
        </is>
      </c>
      <c r="C68" s="15" t="n">
        <v>10</v>
      </c>
      <c r="D68" s="15" t="n">
        <v>2</v>
      </c>
      <c r="E68" s="26" t="n"/>
      <c r="F68" s="21">
        <f>C68+E68</f>
        <v/>
      </c>
      <c r="G68" s="27">
        <f>IFERROR(E68/D68,"")</f>
        <v/>
      </c>
      <c r="H68" s="28" t="n"/>
    </row>
    <row r="69">
      <c r="A69" s="20" t="inlineStr"/>
      <c r="B69" s="19" t="inlineStr">
        <is>
          <t>수원영업8팀</t>
        </is>
      </c>
      <c r="C69" s="15" t="n">
        <v>10</v>
      </c>
      <c r="D69" s="15" t="n">
        <v>2</v>
      </c>
      <c r="E69" s="26" t="n"/>
      <c r="F69" s="21">
        <f>C69+E69</f>
        <v/>
      </c>
      <c r="G69" s="27">
        <f>IFERROR(E69/D69,"")</f>
        <v/>
      </c>
      <c r="H69" s="28" t="n"/>
    </row>
    <row r="70">
      <c r="A70" s="20" t="inlineStr"/>
      <c r="B70" s="19" t="inlineStr">
        <is>
          <t>수원영업9팀</t>
        </is>
      </c>
      <c r="C70" s="15" t="n">
        <v>8</v>
      </c>
      <c r="D70" s="15" t="n">
        <v>1</v>
      </c>
      <c r="E70" s="26" t="n"/>
      <c r="F70" s="21">
        <f>C70+E70</f>
        <v/>
      </c>
      <c r="G70" s="27">
        <f>IFERROR(E70/D70,"")</f>
        <v/>
      </c>
      <c r="H70" s="28" t="n"/>
    </row>
  </sheetData>
  <mergeCells count="2">
    <mergeCell ref="A2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2026-07-26T14:17:44Z</dcterms:created>
  <dcterms:modified xsi:type="dcterms:W3CDTF">2026-07-26T14:17:44Z</dcterms:modified>
</cp:coreProperties>
</file>